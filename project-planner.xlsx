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trlProps/ctrlProp1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0" yWindow="0" windowWidth="25680" windowHeight="11685" activeTab="1"/>
  </bookViews>
  <sheets>
    <sheet name="Summary" sheetId="12" r:id="rId1"/>
    <sheet name="ProjectPlan" sheetId="11" r:id="rId2"/>
    <sheet name="Database" sheetId="13" r:id="rId3"/>
  </sheets>
  <definedNames>
    <definedName name="nextDate">#REF!</definedName>
    <definedName name="pEnd">#REF!</definedName>
    <definedName name="_xlnm.Print_Titles" localSheetId="1">ProjectPlan!$6:$7</definedName>
    <definedName name="thisDate">#REF!</definedName>
    <definedName name="valuevx">42.314159</definedName>
    <definedName name="vertex42_copyright" hidden="1">"© 2017 Vertex42 LLC"</definedName>
    <definedName name="vertex42_id" hidden="1">"project-planner.xlsx"</definedName>
    <definedName name="vertex42_title" hidden="1">"Project Planner Template"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11"/>
  <c r="E26" s="1"/>
  <c r="F26" s="1"/>
  <c r="F24"/>
  <c r="E11"/>
  <c r="F11" s="1"/>
  <c r="F10"/>
  <c r="G23"/>
  <c r="E27" l="1"/>
  <c r="F27" s="1"/>
  <c r="J28" l="1"/>
  <c r="G28"/>
  <c r="J8"/>
  <c r="G8"/>
  <c r="K7"/>
  <c r="L7" s="1"/>
  <c r="M7" s="1"/>
  <c r="K5"/>
  <c r="L5" s="1"/>
  <c r="N7" l="1"/>
  <c r="O7" s="1"/>
  <c r="P7" s="1"/>
  <c r="Q7" s="1"/>
  <c r="R7" s="1"/>
  <c r="S7" s="1"/>
  <c r="T7" s="1"/>
  <c r="U7" s="1"/>
  <c r="V7" s="1"/>
  <c r="W7" s="1"/>
  <c r="X7" s="1"/>
  <c r="Y7" s="1"/>
  <c r="Z7" s="1"/>
  <c r="AA7" s="1"/>
  <c r="AB7" s="1"/>
  <c r="AC7" s="1"/>
  <c r="AD7" s="1"/>
  <c r="AE7" s="1"/>
  <c r="AF7" s="1"/>
  <c r="AG7" s="1"/>
  <c r="AH7" s="1"/>
  <c r="AI7" s="1"/>
  <c r="AJ7" s="1"/>
  <c r="AK7" s="1"/>
  <c r="AL7" s="1"/>
  <c r="AM7" s="1"/>
  <c r="AN7" s="1"/>
  <c r="AO7" s="1"/>
  <c r="AP7" s="1"/>
  <c r="AQ7" s="1"/>
  <c r="AR7" s="1"/>
  <c r="AS7" s="1"/>
  <c r="AT7" s="1"/>
  <c r="AU7" s="1"/>
  <c r="AV7" s="1"/>
  <c r="AW7" s="1"/>
  <c r="AX7" s="1"/>
  <c r="AY7" s="1"/>
  <c r="AZ7" s="1"/>
  <c r="BA7" s="1"/>
  <c r="BB7" s="1"/>
  <c r="BC7" s="1"/>
  <c r="BD7" s="1"/>
  <c r="BE7" s="1"/>
  <c r="BF7" s="1"/>
  <c r="BG7" s="1"/>
  <c r="BH7" s="1"/>
  <c r="BI7" s="1"/>
  <c r="BJ7" s="1"/>
  <c r="BK7" s="1"/>
  <c r="BL7" s="1"/>
  <c r="L6"/>
  <c r="M5"/>
  <c r="N5" s="1"/>
  <c r="K6"/>
  <c r="N6" l="1"/>
  <c r="O5"/>
  <c r="O6" s="1"/>
  <c r="E12"/>
  <c r="M6"/>
  <c r="E14" l="1"/>
  <c r="F12"/>
  <c r="E13" s="1"/>
  <c r="F13" s="1"/>
  <c r="P5"/>
  <c r="E15" l="1"/>
  <c r="F14"/>
  <c r="Q5"/>
  <c r="P6"/>
  <c r="E16" l="1"/>
  <c r="F15"/>
  <c r="R5"/>
  <c r="Q6"/>
  <c r="E17" l="1"/>
  <c r="F17" s="1"/>
  <c r="F16"/>
  <c r="G9"/>
  <c r="S5"/>
  <c r="R6"/>
  <c r="T5" l="1"/>
  <c r="S6"/>
  <c r="T6" l="1"/>
  <c r="U5"/>
  <c r="U6" l="1"/>
  <c r="V5"/>
  <c r="V6" l="1"/>
  <c r="W5"/>
  <c r="X5" l="1"/>
  <c r="W6"/>
  <c r="Y5" l="1"/>
  <c r="X6"/>
  <c r="Z5" l="1"/>
  <c r="Y6"/>
  <c r="AA5" l="1"/>
  <c r="Z6"/>
  <c r="AB5" l="1"/>
  <c r="AA6"/>
  <c r="AC5" l="1"/>
  <c r="AB6"/>
  <c r="AC6" l="1"/>
  <c r="AD5"/>
  <c r="AD6" l="1"/>
  <c r="AE5"/>
  <c r="AF5" l="1"/>
  <c r="AE6"/>
  <c r="AG5" l="1"/>
  <c r="AF6"/>
  <c r="AH5" l="1"/>
  <c r="AG6"/>
  <c r="AI5" l="1"/>
  <c r="AH6"/>
  <c r="AJ5" l="1"/>
  <c r="AI6"/>
  <c r="AJ6" l="1"/>
  <c r="AK5"/>
  <c r="AK6" l="1"/>
  <c r="AL5"/>
  <c r="AM5" l="1"/>
  <c r="AL6"/>
  <c r="AN5" l="1"/>
  <c r="AM6"/>
  <c r="AO5" l="1"/>
  <c r="AN6"/>
  <c r="AP5" l="1"/>
  <c r="AO6"/>
  <c r="AQ5" l="1"/>
  <c r="AP6"/>
  <c r="AR5" l="1"/>
  <c r="AQ6"/>
  <c r="AR6" l="1"/>
  <c r="AS5"/>
  <c r="AS6" l="1"/>
  <c r="AT5"/>
  <c r="AU5" l="1"/>
  <c r="AT6"/>
  <c r="AV5" l="1"/>
  <c r="AU6"/>
  <c r="AW5" l="1"/>
  <c r="AV6"/>
  <c r="AX5" l="1"/>
  <c r="AW6"/>
  <c r="AY5" l="1"/>
  <c r="AX6"/>
  <c r="AZ5" l="1"/>
  <c r="AY6"/>
  <c r="AZ6" l="1"/>
  <c r="BA5"/>
  <c r="BA6" l="1"/>
  <c r="BB5"/>
  <c r="BB6" l="1"/>
  <c r="BC5"/>
  <c r="BD5" l="1"/>
  <c r="BC6"/>
  <c r="BE5" l="1"/>
  <c r="BD6"/>
  <c r="BF5" l="1"/>
  <c r="BE6"/>
  <c r="BG5" l="1"/>
  <c r="BF6"/>
  <c r="BH5" l="1"/>
  <c r="BG6"/>
  <c r="BH6" l="1"/>
  <c r="BI5"/>
  <c r="BI6" l="1"/>
  <c r="BJ5"/>
  <c r="BJ6" l="1"/>
  <c r="BK5"/>
  <c r="BL5" l="1"/>
  <c r="BK6"/>
  <c r="BM5" l="1"/>
  <c r="BM6" s="1"/>
  <c r="BL6"/>
</calcChain>
</file>

<file path=xl/sharedStrings.xml><?xml version="1.0" encoding="utf-8"?>
<sst xmlns="http://schemas.openxmlformats.org/spreadsheetml/2006/main" count="254" uniqueCount="136">
  <si>
    <t>[42]</t>
  </si>
  <si>
    <t>PLAN
START</t>
  </si>
  <si>
    <t>PLAN
END</t>
  </si>
  <si>
    <t>TASK DESCRIPTION</t>
  </si>
  <si>
    <t>Phase 1 Title</t>
  </si>
  <si>
    <t>Phase 2 Title</t>
  </si>
  <si>
    <t>Project Start:</t>
  </si>
  <si>
    <t>WBS</t>
  </si>
  <si>
    <t>ACTUAL
END</t>
  </si>
  <si>
    <t>ACTUAL
START</t>
  </si>
  <si>
    <t>PLAN
DAYS</t>
  </si>
  <si>
    <t>ACTUAL
DAYS</t>
  </si>
  <si>
    <t>PROGRESS</t>
  </si>
  <si>
    <t>Display:</t>
  </si>
  <si>
    <t>Display Period:</t>
  </si>
  <si>
    <t>Next Wealth</t>
  </si>
  <si>
    <t>PL Data Management Tool</t>
  </si>
  <si>
    <t>Daily</t>
  </si>
  <si>
    <t>Prabhu Velusamy
Jayanth Samparthi</t>
  </si>
  <si>
    <t>Project Manager:</t>
  </si>
  <si>
    <t>Development Lead:</t>
  </si>
  <si>
    <t>Ragunathan C</t>
  </si>
  <si>
    <t>Requirement and Analysis</t>
  </si>
  <si>
    <t>ASSIGNED TO</t>
  </si>
  <si>
    <t>Database Design</t>
  </si>
  <si>
    <t>OTP Login Procedure, Authentication</t>
  </si>
  <si>
    <t>Team Management (Deactivate, Remove, Team Changing and SMS)</t>
  </si>
  <si>
    <t>Manikandan</t>
  </si>
  <si>
    <t>Testing</t>
  </si>
  <si>
    <t>Attendance Reports</t>
  </si>
  <si>
    <t>Phase1 Integration</t>
  </si>
  <si>
    <t>Ram &amp; Mani</t>
  </si>
  <si>
    <r>
      <rPr>
        <b/>
        <sz val="16"/>
        <color theme="1"/>
        <rFont val="Arial"/>
        <family val="2"/>
        <scheme val="minor"/>
      </rPr>
      <t>PL Data Management Tool (PL-DMT) Description</t>
    </r>
    <r>
      <rPr>
        <sz val="11"/>
        <color theme="1"/>
        <rFont val="Arial"/>
        <family val="2"/>
        <scheme val="minor"/>
      </rPr>
      <t xml:space="preserve">
The PL Data Management Tool is built with the below key objectives.
1. Keep SE &amp; SO data up to date for review and communication
2. Help RM monitor SE &amp; SO data updates and mark attendance for work monitoring
3. Enable the Admin team to manage backend activities like new additions, removals and hierarchy mapping at a central place.
</t>
    </r>
    <r>
      <rPr>
        <b/>
        <sz val="11"/>
        <color theme="1"/>
        <rFont val="Arial"/>
        <family val="2"/>
        <scheme val="minor"/>
      </rPr>
      <t>Web Server Requirements</t>
    </r>
    <r>
      <rPr>
        <sz val="11"/>
        <color theme="1"/>
        <rFont val="Arial"/>
        <family val="2"/>
        <scheme val="minor"/>
      </rPr>
      <t xml:space="preserve">
Operating System: Ubuntu 16+
Web Server: Lampp
PHP Version: PHP 5.6+
Database: MySQL 5.7
</t>
    </r>
    <r>
      <rPr>
        <b/>
        <sz val="11"/>
        <color theme="1"/>
        <rFont val="Arial"/>
        <family val="2"/>
        <scheme val="minor"/>
      </rPr>
      <t xml:space="preserve">Technology
</t>
    </r>
    <r>
      <rPr>
        <sz val="11"/>
        <color theme="1"/>
        <rFont val="Arial"/>
        <family val="2"/>
        <scheme val="minor"/>
      </rPr>
      <t>PHP MVC Framework
Codeignitor
Bootstrap Theme
Jquery</t>
    </r>
  </si>
  <si>
    <t>TABLE</t>
  </si>
  <si>
    <t>FIELD</t>
  </si>
  <si>
    <t>COMMENTS</t>
  </si>
  <si>
    <t>ATTENDANCE VALUE</t>
  </si>
  <si>
    <t>value_no</t>
  </si>
  <si>
    <t>attendance_value</t>
  </si>
  <si>
    <t>P, A, L, etc</t>
  </si>
  <si>
    <t>description</t>
  </si>
  <si>
    <t>P = Present, L = Leave, etc</t>
  </si>
  <si>
    <t>color_code</t>
  </si>
  <si>
    <t>Color code to each value for differentiate</t>
  </si>
  <si>
    <t>created_on</t>
  </si>
  <si>
    <t>CURRENT_TIMESTAMP</t>
  </si>
  <si>
    <t>status</t>
  </si>
  <si>
    <t>1 = Active, 0 = In-active</t>
  </si>
  <si>
    <t>LEAVE REASON</t>
  </si>
  <si>
    <t>reason_no</t>
  </si>
  <si>
    <t>reason</t>
  </si>
  <si>
    <t>Maternity, Long Leave etc</t>
  </si>
  <si>
    <t>PRODUCT</t>
  </si>
  <si>
    <t>product_no</t>
  </si>
  <si>
    <t>product</t>
  </si>
  <si>
    <t>Sales, Education Loan, etc</t>
  </si>
  <si>
    <t>created_by</t>
  </si>
  <si>
    <t>DEACTIVATED REASON</t>
  </si>
  <si>
    <t>s_no</t>
  </si>
  <si>
    <t>Resigned/ Absconding/ Not joined</t>
  </si>
  <si>
    <t>DESIGNATION</t>
  </si>
  <si>
    <t>designation</t>
  </si>
  <si>
    <t>Admin / RM / SO / SE</t>
  </si>
  <si>
    <t>EMPLOYEE</t>
  </si>
  <si>
    <t>employee_id</t>
  </si>
  <si>
    <t>first_name</t>
  </si>
  <si>
    <t>last_name</t>
  </si>
  <si>
    <t>(Admin/ RM /SO /SE) from designation table</t>
  </si>
  <si>
    <t>email</t>
  </si>
  <si>
    <t>mobile1</t>
  </si>
  <si>
    <t>mobile2</t>
  </si>
  <si>
    <t>mobile3</t>
  </si>
  <si>
    <t>photo</t>
  </si>
  <si>
    <t>c_code</t>
  </si>
  <si>
    <t>Should start with C</t>
  </si>
  <si>
    <t>ban_id</t>
  </si>
  <si>
    <t>Should start with BAN</t>
  </si>
  <si>
    <t>vsts_id</t>
  </si>
  <si>
    <t>Should start with IPRO or CODE NA</t>
  </si>
  <si>
    <t>Product name from product table (Ex: Sales, etc)</t>
  </si>
  <si>
    <t>modified_on</t>
  </si>
  <si>
    <t>modified_by</t>
  </si>
  <si>
    <t>MANAGER TRACKER</t>
  </si>
  <si>
    <t>level1_mgr</t>
  </si>
  <si>
    <t>Employee ID from this table</t>
  </si>
  <si>
    <t>level2_mgr</t>
  </si>
  <si>
    <t>OTP Validation</t>
  </si>
  <si>
    <t>Employee ID</t>
  </si>
  <si>
    <t>otp</t>
  </si>
  <si>
    <t>ACCESS TRACKER</t>
  </si>
  <si>
    <t>employee_name</t>
  </si>
  <si>
    <t>(SE/SO/RM/Admin)</t>
  </si>
  <si>
    <t>access_type</t>
  </si>
  <si>
    <t>(Login/Logout)</t>
  </si>
  <si>
    <t>EMPL DATA CHANGE TRACKER</t>
  </si>
  <si>
    <t>change_type</t>
  </si>
  <si>
    <t>RM/ SOL_ID</t>
  </si>
  <si>
    <t>changed_by</t>
  </si>
  <si>
    <t>field_name</t>
  </si>
  <si>
    <t>old_value</t>
  </si>
  <si>
    <t>new_value</t>
  </si>
  <si>
    <t>approved</t>
  </si>
  <si>
    <t>Y / N</t>
  </si>
  <si>
    <t>approval_by</t>
  </si>
  <si>
    <t>Employee(RM) ID</t>
  </si>
  <si>
    <t>Empl Status Changes Tracker</t>
  </si>
  <si>
    <t>Empl SOL ID Mapping</t>
  </si>
  <si>
    <t>Branch SOL ID</t>
  </si>
  <si>
    <t>Empl Attendance Tracker</t>
  </si>
  <si>
    <t>Empl Leave Tracker</t>
  </si>
  <si>
    <t>Leave Start Dt</t>
  </si>
  <si>
    <t>Leave End Dt</t>
  </si>
  <si>
    <t>Leave Reason</t>
  </si>
  <si>
    <t>Admin Usage Tracker</t>
  </si>
  <si>
    <t>Type of Activity</t>
  </si>
  <si>
    <t>(Report/Download/Upload/Approval/Data)</t>
  </si>
  <si>
    <t>Activity Name</t>
  </si>
  <si>
    <t>Remove / Deactivation</t>
  </si>
  <si>
    <t>new_rm</t>
  </si>
  <si>
    <t>Employee(New RM) ID</t>
  </si>
  <si>
    <t>month_year</t>
  </si>
  <si>
    <t>day1</t>
  </si>
  <si>
    <t>day2</t>
  </si>
  <si>
    <t>:</t>
  </si>
  <si>
    <t>day31</t>
  </si>
  <si>
    <t>Ramachandiran</t>
  </si>
  <si>
    <t>ADMIN: Uploads / Download (SE/ SO/ RM List)</t>
  </si>
  <si>
    <t>ADMIN: Manage (SE/ SO /RM Data, RHS, Values of Product/ Hierarchy/ Long Leave/ Deactivation Reason)</t>
  </si>
  <si>
    <t>ADMIN:  UI Designing, Login,  Approvals for Deactivation of SEs</t>
  </si>
  <si>
    <t>Manage menu permission for each Role</t>
  </si>
  <si>
    <t>SE Module (Field Validation, EDIT and  SMS)</t>
  </si>
  <si>
    <t>SO Module (Field Validation, EDIT and  SMS)</t>
  </si>
  <si>
    <t>RM Module (Form Design and Validation, EDIT, APPROVAL and SMS)</t>
  </si>
  <si>
    <t>ADMIN: Reports (SE Exception, SE Changes, SE on Long Leave)</t>
  </si>
  <si>
    <t>UI Design (Responsive for Both ADMIN and RM pages)</t>
  </si>
  <si>
    <t>Attendance Module</t>
  </si>
</sst>
</file>

<file path=xl/styles.xml><?xml version="1.0" encoding="utf-8"?>
<styleSheet xmlns="http://schemas.openxmlformats.org/spreadsheetml/2006/main">
  <numFmts count="2">
    <numFmt numFmtId="164" formatCode="m/d/yy;@"/>
    <numFmt numFmtId="165" formatCode="ddd\,\ m/d/yyyy"/>
  </numFmts>
  <fonts count="25">
    <font>
      <sz val="11"/>
      <color theme="1"/>
      <name val="Arial"/>
      <family val="2"/>
      <scheme val="minor"/>
    </font>
    <font>
      <b/>
      <sz val="20"/>
      <color theme="4" tint="-0.249977111117893"/>
      <name val="Arial"/>
      <family val="2"/>
      <scheme val="major"/>
    </font>
    <font>
      <sz val="10"/>
      <name val="Arial"/>
      <family val="2"/>
      <scheme val="minor"/>
    </font>
    <font>
      <u/>
      <sz val="11"/>
      <color indexed="12"/>
      <name val="Arial"/>
      <family val="2"/>
    </font>
    <font>
      <sz val="10"/>
      <color theme="1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color theme="0"/>
      <name val="Arial"/>
      <family val="2"/>
      <scheme val="minor"/>
    </font>
    <font>
      <sz val="1"/>
      <color theme="0"/>
      <name val="Arial"/>
      <family val="2"/>
      <scheme val="minor"/>
    </font>
    <font>
      <sz val="16"/>
      <color theme="1"/>
      <name val="Arial"/>
      <family val="2"/>
      <scheme val="minor"/>
    </font>
    <font>
      <i/>
      <sz val="9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1"/>
      <color theme="0" tint="-0.14999847407452621"/>
      <name val="Arial"/>
      <family val="2"/>
      <scheme val="minor"/>
    </font>
    <font>
      <sz val="10"/>
      <color theme="0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20"/>
      <color theme="4"/>
      <name val="Arial"/>
      <family val="2"/>
      <scheme val="major"/>
    </font>
    <font>
      <sz val="9"/>
      <color theme="1" tint="0.499984740745262"/>
      <name val="Arial"/>
      <family val="2"/>
      <scheme val="minor"/>
    </font>
    <font>
      <sz val="11"/>
      <color theme="1"/>
      <name val="Cambria"/>
      <family val="1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</font>
    <font>
      <sz val="12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darkUp">
        <fgColor theme="1" tint="0.499984740745262"/>
        <bgColor theme="4" tint="0.3999145481734672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15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center" vertical="center" wrapText="1"/>
    </xf>
    <xf numFmtId="0" fontId="10" fillId="0" borderId="0" xfId="0" applyFont="1"/>
    <xf numFmtId="0" fontId="0" fillId="0" borderId="3" xfId="0" applyFont="1" applyFill="1" applyBorder="1" applyAlignment="1">
      <alignment horizontal="left" vertical="center" inden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2" borderId="4" xfId="0" applyFill="1" applyBorder="1" applyAlignment="1">
      <alignment vertical="center"/>
    </xf>
    <xf numFmtId="0" fontId="7" fillId="0" borderId="0" xfId="0" applyFont="1"/>
    <xf numFmtId="0" fontId="0" fillId="0" borderId="0" xfId="0" applyAlignment="1">
      <alignment horizontal="right" vertical="center"/>
    </xf>
    <xf numFmtId="0" fontId="0" fillId="0" borderId="5" xfId="0" applyNumberFormat="1" applyBorder="1" applyAlignment="1">
      <alignment horizontal="center" vertical="center"/>
    </xf>
    <xf numFmtId="14" fontId="13" fillId="0" borderId="2" xfId="0" applyNumberFormat="1" applyFont="1" applyBorder="1"/>
    <xf numFmtId="14" fontId="12" fillId="4" borderId="6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shrinkToFit="1"/>
    </xf>
    <xf numFmtId="0" fontId="0" fillId="0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4" fillId="0" borderId="3" xfId="0" applyNumberFormat="1" applyFont="1" applyFill="1" applyBorder="1" applyAlignment="1">
      <alignment horizontal="center" vertical="center"/>
    </xf>
    <xf numFmtId="0" fontId="16" fillId="4" borderId="3" xfId="0" applyNumberFormat="1" applyFont="1" applyFill="1" applyBorder="1" applyAlignment="1">
      <alignment horizontal="center" vertical="center"/>
    </xf>
    <xf numFmtId="0" fontId="17" fillId="2" borderId="3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9" fontId="6" fillId="0" borderId="3" xfId="2" applyFont="1" applyFill="1" applyBorder="1" applyAlignment="1">
      <alignment horizontal="center" vertical="center"/>
    </xf>
    <xf numFmtId="9" fontId="6" fillId="4" borderId="3" xfId="2" applyFont="1" applyFill="1" applyBorder="1" applyAlignment="1">
      <alignment horizontal="center" vertical="center"/>
    </xf>
    <xf numFmtId="9" fontId="6" fillId="2" borderId="3" xfId="2" applyFont="1" applyFill="1" applyBorder="1" applyAlignment="1">
      <alignment horizontal="center" vertical="center"/>
    </xf>
    <xf numFmtId="164" fontId="0" fillId="0" borderId="3" xfId="0" applyNumberFormat="1" applyFont="1" applyFill="1" applyBorder="1" applyAlignment="1">
      <alignment horizontal="center" vertical="center"/>
    </xf>
    <xf numFmtId="164" fontId="6" fillId="0" borderId="3" xfId="0" applyNumberFormat="1" applyFont="1" applyFill="1" applyBorder="1" applyAlignment="1">
      <alignment horizontal="center" vertical="center"/>
    </xf>
    <xf numFmtId="164" fontId="0" fillId="4" borderId="3" xfId="0" applyNumberFormat="1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left" vertical="center"/>
    </xf>
    <xf numFmtId="164" fontId="6" fillId="2" borderId="3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0" fillId="0" borderId="8" xfId="0" applyNumberFormat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8" fillId="6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top" wrapText="1"/>
    </xf>
    <xf numFmtId="0" fontId="0" fillId="0" borderId="3" xfId="0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3" xfId="0" applyFill="1" applyBorder="1" applyAlignment="1">
      <alignment horizontal="left" vertical="center" indent="1"/>
    </xf>
    <xf numFmtId="14" fontId="13" fillId="7" borderId="2" xfId="0" applyNumberFormat="1" applyFont="1" applyFill="1" applyBorder="1"/>
    <xf numFmtId="14" fontId="12" fillId="7" borderId="6" xfId="0" applyNumberFormat="1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shrinkToFit="1"/>
    </xf>
    <xf numFmtId="0" fontId="0" fillId="7" borderId="4" xfId="0" applyFill="1" applyBorder="1" applyAlignment="1">
      <alignment vertical="center"/>
    </xf>
    <xf numFmtId="0" fontId="0" fillId="0" borderId="0" xfId="0" applyFill="1"/>
    <xf numFmtId="0" fontId="2" fillId="0" borderId="0" xfId="0" applyFont="1" applyFill="1"/>
    <xf numFmtId="0" fontId="14" fillId="0" borderId="0" xfId="0" applyFont="1" applyFill="1" applyAlignment="1">
      <alignment vertical="center"/>
    </xf>
    <xf numFmtId="0" fontId="9" fillId="0" borderId="0" xfId="0" applyFont="1" applyFill="1"/>
    <xf numFmtId="0" fontId="19" fillId="0" borderId="0" xfId="0" applyFont="1" applyFill="1" applyAlignment="1">
      <alignment horizontal="left"/>
    </xf>
    <xf numFmtId="0" fontId="12" fillId="0" borderId="0" xfId="0" applyNumberFormat="1" applyFont="1" applyFill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3" fillId="0" borderId="0" xfId="0" applyFont="1"/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24" fillId="0" borderId="0" xfId="0" applyFont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165" fontId="0" fillId="0" borderId="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/>
    </xf>
  </cellXfs>
  <cellStyles count="3">
    <cellStyle name="Hyperlink" xfId="1" builtinId="8" customBuiltin="1"/>
    <cellStyle name="Normal" xfId="0" builtinId="0"/>
    <cellStyle name="Percent" xfId="2" builtinId="5"/>
  </cellStyles>
  <dxfs count="17"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3969AD"/>
        </patternFill>
      </fill>
    </dxf>
    <dxf>
      <fill>
        <patternFill patternType="darkUp">
          <fgColor theme="1" tint="0.499984740745262"/>
        </patternFill>
      </fill>
    </dxf>
    <dxf>
      <border>
        <right style="thin">
          <color theme="0" tint="-0.14996795556505021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3969AD"/>
        </patternFill>
      </fill>
    </dxf>
    <dxf>
      <fill>
        <patternFill patternType="darkUp">
          <fgColor theme="1" tint="0.499984740745262"/>
        </patternFill>
      </fill>
    </dxf>
    <dxf>
      <border>
        <right style="thin">
          <color theme="0" tint="-0.14996795556505021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secondRowStripe" dxfId="10"/>
      <tableStyleElement type="firstColumnStripe" dxfId="9"/>
      <tableStyleElement type="second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969696"/>
      <color rgb="FFC0C0C0"/>
      <color rgb="FF427FC2"/>
      <color rgb="FF44678E"/>
      <color rgb="FF42648A"/>
      <color rgb="FF215881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croll" dx="22" fmlaLink="$F$5" horiz="1" max="100" min="1" page="4"/>
</file>

<file path=xl/theme/theme1.xml><?xml version="1.0" encoding="utf-8"?>
<a:theme xmlns:a="http://schemas.openxmlformats.org/drawingml/2006/main" name="Office Theme">
  <a:themeElements>
    <a:clrScheme name="Vertex42 - Blue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workbookViewId="0">
      <selection activeCell="U24" sqref="U24"/>
    </sheetView>
  </sheetViews>
  <sheetFormatPr defaultRowHeight="14.25"/>
  <sheetData>
    <row r="1" spans="1:19">
      <c r="A1" s="66" t="s">
        <v>32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spans="1:19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</row>
    <row r="4" spans="1:19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</row>
    <row r="5" spans="1:19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</row>
    <row r="6" spans="1:19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</row>
    <row r="7" spans="1:19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</row>
    <row r="8" spans="1:19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</row>
    <row r="9" spans="1:19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</row>
    <row r="10" spans="1:19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spans="1:19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</row>
    <row r="12" spans="1:19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</row>
    <row r="13" spans="1:19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</row>
    <row r="14" spans="1:19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</row>
    <row r="15" spans="1:19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</row>
    <row r="16" spans="1:19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</row>
    <row r="17" spans="1:19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</row>
    <row r="18" spans="1:19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</row>
    <row r="19" spans="1: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</row>
    <row r="20" spans="1:19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</row>
    <row r="21" spans="1:19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</row>
    <row r="22" spans="1:19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</row>
    <row r="23" spans="1:19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</row>
    <row r="24" spans="1:19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</row>
    <row r="25" spans="1:19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</row>
    <row r="26" spans="1:19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</row>
    <row r="27" spans="1:19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</row>
    <row r="28" spans="1:19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</row>
    <row r="29" spans="1:1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</row>
    <row r="30" spans="1:19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</row>
    <row r="31" spans="1:19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</row>
    <row r="32" spans="1:19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</row>
    <row r="33" spans="1:19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</row>
    <row r="34" spans="1:19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</row>
    <row r="35" spans="1:19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</row>
    <row r="36" spans="1:19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</row>
    <row r="37" spans="1:19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</row>
    <row r="38" spans="1:19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</row>
    <row r="39" spans="1:1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</row>
    <row r="40" spans="1:19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</row>
    <row r="41" spans="1:19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</row>
  </sheetData>
  <mergeCells count="1">
    <mergeCell ref="A1:S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M33"/>
  <sheetViews>
    <sheetView showGridLines="0" tabSelected="1" showRuler="0" zoomScaleNormal="100" zoomScalePageLayoutView="70" workbookViewId="0">
      <selection activeCell="E3" sqref="E3:F3"/>
    </sheetView>
  </sheetViews>
  <sheetFormatPr defaultRowHeight="14.25"/>
  <cols>
    <col min="1" max="1" width="5.375" customWidth="1"/>
    <col min="2" max="2" width="89" bestFit="1" customWidth="1"/>
    <col min="3" max="3" width="19" customWidth="1"/>
    <col min="4" max="4" width="10.625" customWidth="1"/>
    <col min="5" max="5" width="9.5" style="5" customWidth="1"/>
    <col min="6" max="6" width="9.5" customWidth="1"/>
    <col min="7" max="7" width="7.375" customWidth="1"/>
    <col min="8" max="8" width="9.5" style="5" customWidth="1"/>
    <col min="9" max="9" width="9.5" customWidth="1"/>
    <col min="10" max="10" width="8.125" customWidth="1"/>
    <col min="11" max="13" width="3.125" customWidth="1"/>
    <col min="14" max="64" width="3.125" style="53" customWidth="1"/>
    <col min="65" max="65" width="3.75" style="53" customWidth="1"/>
  </cols>
  <sheetData>
    <row r="1" spans="1:65" ht="26.25">
      <c r="A1" s="38" t="s">
        <v>16</v>
      </c>
      <c r="B1" s="1"/>
      <c r="C1" s="1"/>
      <c r="D1" s="2"/>
      <c r="E1" s="43"/>
      <c r="F1" s="2"/>
      <c r="G1" s="2"/>
      <c r="H1" s="4"/>
      <c r="I1" s="2"/>
      <c r="J1" s="54"/>
      <c r="K1" s="55"/>
      <c r="L1" s="53"/>
      <c r="M1" s="53"/>
      <c r="BG1" s="56" t="s">
        <v>0</v>
      </c>
    </row>
    <row r="2" spans="1:65" ht="19.5" customHeight="1">
      <c r="A2" s="8" t="s">
        <v>15</v>
      </c>
      <c r="B2" s="8"/>
      <c r="C2" s="8"/>
      <c r="J2" s="53"/>
      <c r="K2" s="57"/>
      <c r="L2" s="53"/>
      <c r="M2" s="53"/>
    </row>
    <row r="3" spans="1:65" ht="19.5" customHeight="1">
      <c r="A3" s="8"/>
      <c r="D3" s="14" t="s">
        <v>6</v>
      </c>
      <c r="E3" s="68">
        <v>43670</v>
      </c>
      <c r="F3" s="69"/>
      <c r="J3" s="53"/>
      <c r="K3" s="53"/>
      <c r="L3" s="53"/>
      <c r="M3" s="53"/>
    </row>
    <row r="4" spans="1:65" ht="19.5" customHeight="1">
      <c r="A4" s="14"/>
      <c r="B4" s="13" t="s">
        <v>19</v>
      </c>
      <c r="D4" s="14" t="s">
        <v>13</v>
      </c>
      <c r="E4" s="39" t="s">
        <v>17</v>
      </c>
      <c r="J4" s="53"/>
      <c r="K4" s="58"/>
      <c r="L4" s="58"/>
      <c r="M4" s="58"/>
      <c r="N4" s="58"/>
      <c r="O4" s="58"/>
    </row>
    <row r="5" spans="1:65" ht="18" hidden="1" customHeight="1">
      <c r="A5" s="14"/>
      <c r="D5" s="14" t="s">
        <v>14</v>
      </c>
      <c r="E5" s="15">
        <v>1</v>
      </c>
      <c r="K5" s="16">
        <f>IF(E4="Weekly",E3+7*(E5-1),IF(E4="Daily",E3+(E5-1),IF(E4="Monthly",EDATE($E$3,($E$5-1)),EDATE($E$3,3*($E$5-1)))))</f>
        <v>43670</v>
      </c>
      <c r="L5" s="16">
        <f t="shared" ref="L5:BM5" si="0">IF($E$4="Daily",K5+1,IF($E$4="Weekly",K5+7,IF($E$4="Monthly",EDATE($E$3,L7-1),EDATE($E$3,3*(L7-1)))))</f>
        <v>43671</v>
      </c>
      <c r="M5" s="16">
        <f t="shared" si="0"/>
        <v>43672</v>
      </c>
      <c r="N5" s="49">
        <f t="shared" si="0"/>
        <v>43673</v>
      </c>
      <c r="O5" s="49">
        <f t="shared" si="0"/>
        <v>43674</v>
      </c>
      <c r="P5" s="16">
        <f>IF($E$4="Daily",O5+1,IF($E$4="Weekly",O5+7,IF($E$4="Monthly",EDATE($E$3,P7-1),EDATE($E$3,3*(P7-1)))))</f>
        <v>43675</v>
      </c>
      <c r="Q5" s="16">
        <f t="shared" si="0"/>
        <v>43676</v>
      </c>
      <c r="R5" s="16">
        <f t="shared" si="0"/>
        <v>43677</v>
      </c>
      <c r="S5" s="16">
        <f t="shared" si="0"/>
        <v>43678</v>
      </c>
      <c r="T5" s="16">
        <f t="shared" si="0"/>
        <v>43679</v>
      </c>
      <c r="U5" s="49">
        <f t="shared" si="0"/>
        <v>43680</v>
      </c>
      <c r="V5" s="49">
        <f t="shared" si="0"/>
        <v>43681</v>
      </c>
      <c r="W5" s="16">
        <f t="shared" si="0"/>
        <v>43682</v>
      </c>
      <c r="X5" s="16">
        <f t="shared" si="0"/>
        <v>43683</v>
      </c>
      <c r="Y5" s="16">
        <f t="shared" si="0"/>
        <v>43684</v>
      </c>
      <c r="Z5" s="16">
        <f t="shared" si="0"/>
        <v>43685</v>
      </c>
      <c r="AA5" s="16">
        <f t="shared" si="0"/>
        <v>43686</v>
      </c>
      <c r="AB5" s="49">
        <f t="shared" si="0"/>
        <v>43687</v>
      </c>
      <c r="AC5" s="49">
        <f t="shared" si="0"/>
        <v>43688</v>
      </c>
      <c r="AD5" s="16">
        <f t="shared" si="0"/>
        <v>43689</v>
      </c>
      <c r="AE5" s="16">
        <f t="shared" si="0"/>
        <v>43690</v>
      </c>
      <c r="AF5" s="16">
        <f t="shared" si="0"/>
        <v>43691</v>
      </c>
      <c r="AG5" s="16">
        <f t="shared" si="0"/>
        <v>43692</v>
      </c>
      <c r="AH5" s="16">
        <f t="shared" si="0"/>
        <v>43693</v>
      </c>
      <c r="AI5" s="49">
        <f t="shared" si="0"/>
        <v>43694</v>
      </c>
      <c r="AJ5" s="49">
        <f t="shared" si="0"/>
        <v>43695</v>
      </c>
      <c r="AK5" s="16">
        <f t="shared" si="0"/>
        <v>43696</v>
      </c>
      <c r="AL5" s="16">
        <f t="shared" si="0"/>
        <v>43697</v>
      </c>
      <c r="AM5" s="16">
        <f t="shared" si="0"/>
        <v>43698</v>
      </c>
      <c r="AN5" s="16">
        <f t="shared" si="0"/>
        <v>43699</v>
      </c>
      <c r="AO5" s="16">
        <f t="shared" si="0"/>
        <v>43700</v>
      </c>
      <c r="AP5" s="49">
        <f t="shared" si="0"/>
        <v>43701</v>
      </c>
      <c r="AQ5" s="49">
        <f t="shared" si="0"/>
        <v>43702</v>
      </c>
      <c r="AR5" s="16">
        <f t="shared" si="0"/>
        <v>43703</v>
      </c>
      <c r="AS5" s="16">
        <f t="shared" si="0"/>
        <v>43704</v>
      </c>
      <c r="AT5" s="16">
        <f t="shared" si="0"/>
        <v>43705</v>
      </c>
      <c r="AU5" s="16">
        <f t="shared" si="0"/>
        <v>43706</v>
      </c>
      <c r="AV5" s="16">
        <f t="shared" si="0"/>
        <v>43707</v>
      </c>
      <c r="AW5" s="49">
        <f t="shared" si="0"/>
        <v>43708</v>
      </c>
      <c r="AX5" s="49">
        <f t="shared" si="0"/>
        <v>43709</v>
      </c>
      <c r="AY5" s="16">
        <f t="shared" si="0"/>
        <v>43710</v>
      </c>
      <c r="AZ5" s="16">
        <f t="shared" si="0"/>
        <v>43711</v>
      </c>
      <c r="BA5" s="16">
        <f t="shared" si="0"/>
        <v>43712</v>
      </c>
      <c r="BB5" s="16">
        <f t="shared" si="0"/>
        <v>43713</v>
      </c>
      <c r="BC5" s="16">
        <f t="shared" si="0"/>
        <v>43714</v>
      </c>
      <c r="BD5" s="49">
        <f t="shared" si="0"/>
        <v>43715</v>
      </c>
      <c r="BE5" s="49">
        <f t="shared" si="0"/>
        <v>43716</v>
      </c>
      <c r="BF5" s="16">
        <f t="shared" si="0"/>
        <v>43717</v>
      </c>
      <c r="BG5" s="16">
        <f t="shared" si="0"/>
        <v>43718</v>
      </c>
      <c r="BH5" s="16">
        <f t="shared" si="0"/>
        <v>43719</v>
      </c>
      <c r="BI5" s="16">
        <f t="shared" si="0"/>
        <v>43720</v>
      </c>
      <c r="BJ5" s="16">
        <f t="shared" si="0"/>
        <v>43721</v>
      </c>
      <c r="BK5" s="49">
        <f t="shared" si="0"/>
        <v>43722</v>
      </c>
      <c r="BL5" s="49">
        <f t="shared" si="0"/>
        <v>43723</v>
      </c>
      <c r="BM5" s="16">
        <f t="shared" si="0"/>
        <v>43724</v>
      </c>
    </row>
    <row r="6" spans="1:65" ht="47.25" customHeight="1">
      <c r="B6" s="45" t="s">
        <v>18</v>
      </c>
      <c r="C6" s="47" t="s">
        <v>20</v>
      </c>
      <c r="D6" s="70" t="s">
        <v>21</v>
      </c>
      <c r="E6" s="70"/>
      <c r="K6" s="17" t="str">
        <f>DAY(K5)&amp;CHAR(10)&amp;LEFT(TEXT(K5,"mmm"),3)&amp;CHAR(10)&amp;"'"&amp;RIGHT(YEAR(K5),2)</f>
        <v>24
Jul
'19</v>
      </c>
      <c r="L6" s="17" t="str">
        <f t="shared" ref="L6:BM6" si="1">DAY(L5)&amp;CHAR(10)&amp;LEFT(TEXT(L5,"mmm"),3)&amp;CHAR(10)&amp;"'"&amp;RIGHT(YEAR(L5),2)</f>
        <v>25
Jul
'19</v>
      </c>
      <c r="M6" s="17" t="str">
        <f t="shared" si="1"/>
        <v>26
Jul
'19</v>
      </c>
      <c r="N6" s="50" t="str">
        <f t="shared" si="1"/>
        <v>27
Jul
'19</v>
      </c>
      <c r="O6" s="50" t="str">
        <f t="shared" si="1"/>
        <v>28
Jul
'19</v>
      </c>
      <c r="P6" s="17" t="str">
        <f t="shared" si="1"/>
        <v>29
Jul
'19</v>
      </c>
      <c r="Q6" s="17" t="str">
        <f t="shared" si="1"/>
        <v>30
Jul
'19</v>
      </c>
      <c r="R6" s="17" t="str">
        <f t="shared" si="1"/>
        <v>31
Jul
'19</v>
      </c>
      <c r="S6" s="17" t="str">
        <f t="shared" si="1"/>
        <v>1
Aug
'19</v>
      </c>
      <c r="T6" s="17" t="str">
        <f t="shared" si="1"/>
        <v>2
Aug
'19</v>
      </c>
      <c r="U6" s="50" t="str">
        <f t="shared" si="1"/>
        <v>3
Aug
'19</v>
      </c>
      <c r="V6" s="50" t="str">
        <f t="shared" si="1"/>
        <v>4
Aug
'19</v>
      </c>
      <c r="W6" s="17" t="str">
        <f t="shared" si="1"/>
        <v>5
Aug
'19</v>
      </c>
      <c r="X6" s="17" t="str">
        <f t="shared" si="1"/>
        <v>6
Aug
'19</v>
      </c>
      <c r="Y6" s="17" t="str">
        <f t="shared" si="1"/>
        <v>7
Aug
'19</v>
      </c>
      <c r="Z6" s="17" t="str">
        <f t="shared" si="1"/>
        <v>8
Aug
'19</v>
      </c>
      <c r="AA6" s="17" t="str">
        <f t="shared" si="1"/>
        <v>9
Aug
'19</v>
      </c>
      <c r="AB6" s="50" t="str">
        <f t="shared" si="1"/>
        <v>10
Aug
'19</v>
      </c>
      <c r="AC6" s="50" t="str">
        <f t="shared" si="1"/>
        <v>11
Aug
'19</v>
      </c>
      <c r="AD6" s="17" t="str">
        <f t="shared" si="1"/>
        <v>12
Aug
'19</v>
      </c>
      <c r="AE6" s="17" t="str">
        <f t="shared" si="1"/>
        <v>13
Aug
'19</v>
      </c>
      <c r="AF6" s="17" t="str">
        <f t="shared" si="1"/>
        <v>14
Aug
'19</v>
      </c>
      <c r="AG6" s="17" t="str">
        <f t="shared" si="1"/>
        <v>15
Aug
'19</v>
      </c>
      <c r="AH6" s="17" t="str">
        <f t="shared" si="1"/>
        <v>16
Aug
'19</v>
      </c>
      <c r="AI6" s="50" t="str">
        <f t="shared" si="1"/>
        <v>17
Aug
'19</v>
      </c>
      <c r="AJ6" s="50" t="str">
        <f t="shared" si="1"/>
        <v>18
Aug
'19</v>
      </c>
      <c r="AK6" s="17" t="str">
        <f t="shared" si="1"/>
        <v>19
Aug
'19</v>
      </c>
      <c r="AL6" s="17" t="str">
        <f t="shared" si="1"/>
        <v>20
Aug
'19</v>
      </c>
      <c r="AM6" s="17" t="str">
        <f t="shared" si="1"/>
        <v>21
Aug
'19</v>
      </c>
      <c r="AN6" s="17" t="str">
        <f t="shared" si="1"/>
        <v>22
Aug
'19</v>
      </c>
      <c r="AO6" s="17" t="str">
        <f t="shared" si="1"/>
        <v>23
Aug
'19</v>
      </c>
      <c r="AP6" s="50" t="str">
        <f t="shared" si="1"/>
        <v>24
Aug
'19</v>
      </c>
      <c r="AQ6" s="50" t="str">
        <f t="shared" si="1"/>
        <v>25
Aug
'19</v>
      </c>
      <c r="AR6" s="17" t="str">
        <f t="shared" si="1"/>
        <v>26
Aug
'19</v>
      </c>
      <c r="AS6" s="17" t="str">
        <f t="shared" si="1"/>
        <v>27
Aug
'19</v>
      </c>
      <c r="AT6" s="17" t="str">
        <f t="shared" si="1"/>
        <v>28
Aug
'19</v>
      </c>
      <c r="AU6" s="17" t="str">
        <f t="shared" si="1"/>
        <v>29
Aug
'19</v>
      </c>
      <c r="AV6" s="17" t="str">
        <f t="shared" si="1"/>
        <v>30
Aug
'19</v>
      </c>
      <c r="AW6" s="50" t="str">
        <f t="shared" si="1"/>
        <v>31
Aug
'19</v>
      </c>
      <c r="AX6" s="50" t="str">
        <f t="shared" si="1"/>
        <v>1
Sep
'19</v>
      </c>
      <c r="AY6" s="17" t="str">
        <f t="shared" si="1"/>
        <v>2
Sep
'19</v>
      </c>
      <c r="AZ6" s="17" t="str">
        <f t="shared" si="1"/>
        <v>3
Sep
'19</v>
      </c>
      <c r="BA6" s="17" t="str">
        <f t="shared" si="1"/>
        <v>4
Sep
'19</v>
      </c>
      <c r="BB6" s="17" t="str">
        <f t="shared" si="1"/>
        <v>5
Sep
'19</v>
      </c>
      <c r="BC6" s="17" t="str">
        <f t="shared" si="1"/>
        <v>6
Sep
'19</v>
      </c>
      <c r="BD6" s="50" t="str">
        <f t="shared" si="1"/>
        <v>7
Sep
'19</v>
      </c>
      <c r="BE6" s="50" t="str">
        <f t="shared" si="1"/>
        <v>8
Sep
'19</v>
      </c>
      <c r="BF6" s="17" t="str">
        <f t="shared" si="1"/>
        <v>9
Sep
'19</v>
      </c>
      <c r="BG6" s="17" t="str">
        <f t="shared" si="1"/>
        <v>10
Sep
'19</v>
      </c>
      <c r="BH6" s="17" t="str">
        <f t="shared" si="1"/>
        <v>11
Sep
'19</v>
      </c>
      <c r="BI6" s="17" t="str">
        <f t="shared" si="1"/>
        <v>12
Sep
'19</v>
      </c>
      <c r="BJ6" s="17" t="str">
        <f t="shared" si="1"/>
        <v>13
Sep
'19</v>
      </c>
      <c r="BK6" s="50" t="str">
        <f t="shared" si="1"/>
        <v>14
Sep
'19</v>
      </c>
      <c r="BL6" s="50" t="str">
        <f t="shared" si="1"/>
        <v>15
Sep
'19</v>
      </c>
      <c r="BM6" s="17" t="str">
        <f t="shared" si="1"/>
        <v>16
Sep
'19</v>
      </c>
    </row>
    <row r="7" spans="1:65" ht="29.25" customHeight="1" thickBot="1">
      <c r="A7" s="28" t="s">
        <v>7</v>
      </c>
      <c r="B7" s="6" t="s">
        <v>3</v>
      </c>
      <c r="C7" s="7" t="s">
        <v>23</v>
      </c>
      <c r="D7" s="7" t="s">
        <v>12</v>
      </c>
      <c r="E7" s="44" t="s">
        <v>1</v>
      </c>
      <c r="F7" s="44" t="s">
        <v>2</v>
      </c>
      <c r="G7" s="44" t="s">
        <v>10</v>
      </c>
      <c r="H7" s="7" t="s">
        <v>9</v>
      </c>
      <c r="I7" s="7" t="s">
        <v>8</v>
      </c>
      <c r="J7" s="7" t="s">
        <v>11</v>
      </c>
      <c r="K7" s="18">
        <f>E5</f>
        <v>1</v>
      </c>
      <c r="L7" s="18">
        <f>K7+1</f>
        <v>2</v>
      </c>
      <c r="M7" s="18">
        <f t="shared" ref="M7:BL7" si="2">L7+1</f>
        <v>3</v>
      </c>
      <c r="N7" s="51">
        <f t="shared" si="2"/>
        <v>4</v>
      </c>
      <c r="O7" s="51">
        <f t="shared" si="2"/>
        <v>5</v>
      </c>
      <c r="P7" s="18">
        <f>O7+1</f>
        <v>6</v>
      </c>
      <c r="Q7" s="18">
        <f t="shared" si="2"/>
        <v>7</v>
      </c>
      <c r="R7" s="18">
        <f t="shared" si="2"/>
        <v>8</v>
      </c>
      <c r="S7" s="18">
        <f t="shared" si="2"/>
        <v>9</v>
      </c>
      <c r="T7" s="18">
        <f t="shared" si="2"/>
        <v>10</v>
      </c>
      <c r="U7" s="51">
        <f t="shared" si="2"/>
        <v>11</v>
      </c>
      <c r="V7" s="51">
        <f t="shared" si="2"/>
        <v>12</v>
      </c>
      <c r="W7" s="18">
        <f t="shared" si="2"/>
        <v>13</v>
      </c>
      <c r="X7" s="18">
        <f t="shared" si="2"/>
        <v>14</v>
      </c>
      <c r="Y7" s="18">
        <f t="shared" si="2"/>
        <v>15</v>
      </c>
      <c r="Z7" s="18">
        <f t="shared" si="2"/>
        <v>16</v>
      </c>
      <c r="AA7" s="18">
        <f t="shared" si="2"/>
        <v>17</v>
      </c>
      <c r="AB7" s="51">
        <f t="shared" si="2"/>
        <v>18</v>
      </c>
      <c r="AC7" s="51">
        <f t="shared" si="2"/>
        <v>19</v>
      </c>
      <c r="AD7" s="18">
        <f t="shared" si="2"/>
        <v>20</v>
      </c>
      <c r="AE7" s="18">
        <f t="shared" si="2"/>
        <v>21</v>
      </c>
      <c r="AF7" s="18">
        <f t="shared" si="2"/>
        <v>22</v>
      </c>
      <c r="AG7" s="18">
        <f t="shared" si="2"/>
        <v>23</v>
      </c>
      <c r="AH7" s="18">
        <f t="shared" si="2"/>
        <v>24</v>
      </c>
      <c r="AI7" s="51">
        <f t="shared" si="2"/>
        <v>25</v>
      </c>
      <c r="AJ7" s="51">
        <f t="shared" si="2"/>
        <v>26</v>
      </c>
      <c r="AK7" s="18">
        <f t="shared" si="2"/>
        <v>27</v>
      </c>
      <c r="AL7" s="18">
        <f t="shared" si="2"/>
        <v>28</v>
      </c>
      <c r="AM7" s="18">
        <f t="shared" si="2"/>
        <v>29</v>
      </c>
      <c r="AN7" s="18">
        <f t="shared" si="2"/>
        <v>30</v>
      </c>
      <c r="AO7" s="18">
        <f t="shared" si="2"/>
        <v>31</v>
      </c>
      <c r="AP7" s="51">
        <f t="shared" si="2"/>
        <v>32</v>
      </c>
      <c r="AQ7" s="51">
        <f t="shared" si="2"/>
        <v>33</v>
      </c>
      <c r="AR7" s="18">
        <f t="shared" si="2"/>
        <v>34</v>
      </c>
      <c r="AS7" s="18">
        <f t="shared" si="2"/>
        <v>35</v>
      </c>
      <c r="AT7" s="18">
        <f t="shared" si="2"/>
        <v>36</v>
      </c>
      <c r="AU7" s="18">
        <f t="shared" si="2"/>
        <v>37</v>
      </c>
      <c r="AV7" s="18">
        <f t="shared" si="2"/>
        <v>38</v>
      </c>
      <c r="AW7" s="51">
        <f t="shared" si="2"/>
        <v>39</v>
      </c>
      <c r="AX7" s="51">
        <f t="shared" si="2"/>
        <v>40</v>
      </c>
      <c r="AY7" s="18">
        <f t="shared" si="2"/>
        <v>41</v>
      </c>
      <c r="AZ7" s="18">
        <f t="shared" si="2"/>
        <v>42</v>
      </c>
      <c r="BA7" s="18">
        <f t="shared" si="2"/>
        <v>43</v>
      </c>
      <c r="BB7" s="18">
        <f t="shared" si="2"/>
        <v>44</v>
      </c>
      <c r="BC7" s="18">
        <f t="shared" si="2"/>
        <v>45</v>
      </c>
      <c r="BD7" s="51">
        <f t="shared" si="2"/>
        <v>46</v>
      </c>
      <c r="BE7" s="51">
        <f t="shared" si="2"/>
        <v>47</v>
      </c>
      <c r="BF7" s="18">
        <f t="shared" si="2"/>
        <v>48</v>
      </c>
      <c r="BG7" s="18">
        <f t="shared" si="2"/>
        <v>49</v>
      </c>
      <c r="BH7" s="18">
        <f t="shared" si="2"/>
        <v>50</v>
      </c>
      <c r="BI7" s="18">
        <f t="shared" si="2"/>
        <v>51</v>
      </c>
      <c r="BJ7" s="18">
        <f t="shared" si="2"/>
        <v>52</v>
      </c>
      <c r="BK7" s="51">
        <f t="shared" si="2"/>
        <v>53</v>
      </c>
      <c r="BL7" s="51">
        <f t="shared" si="2"/>
        <v>54</v>
      </c>
      <c r="BM7"/>
    </row>
    <row r="8" spans="1:65" s="3" customFormat="1" ht="15" thickBot="1">
      <c r="A8" s="25"/>
      <c r="B8" s="22"/>
      <c r="C8" s="19"/>
      <c r="D8" s="29"/>
      <c r="E8" s="32"/>
      <c r="F8" s="33"/>
      <c r="G8" s="40" t="str">
        <f>IF(OR(ISBLANK(E8),ISBLANK(F8)),"",F8-E8+1)</f>
        <v/>
      </c>
      <c r="H8" s="32"/>
      <c r="I8" s="33"/>
      <c r="J8" s="40" t="str">
        <f>IF(OR(ISBLANK(H8),ISBLANK(I8)),"",I8-H8+1)</f>
        <v/>
      </c>
      <c r="K8" s="10"/>
      <c r="L8" s="10"/>
      <c r="M8" s="10"/>
      <c r="N8" s="52"/>
      <c r="O8" s="52"/>
      <c r="P8" s="10"/>
      <c r="Q8" s="10"/>
      <c r="R8" s="10"/>
      <c r="S8" s="10"/>
      <c r="T8" s="10"/>
      <c r="U8" s="52"/>
      <c r="V8" s="52"/>
      <c r="W8" s="10"/>
      <c r="X8" s="10"/>
      <c r="Y8" s="10"/>
      <c r="Z8" s="10"/>
      <c r="AA8" s="10"/>
      <c r="AB8" s="52"/>
      <c r="AC8" s="52"/>
      <c r="AD8" s="10"/>
      <c r="AE8" s="10"/>
      <c r="AF8" s="10"/>
      <c r="AG8" s="10"/>
      <c r="AH8" s="10"/>
      <c r="AI8" s="52"/>
      <c r="AJ8" s="52"/>
      <c r="AK8" s="10"/>
      <c r="AL8" s="10"/>
      <c r="AM8" s="10"/>
      <c r="AN8" s="10"/>
      <c r="AO8" s="10"/>
      <c r="AP8" s="52"/>
      <c r="AQ8" s="52"/>
      <c r="AR8" s="10"/>
      <c r="AS8" s="10"/>
      <c r="AT8" s="10"/>
      <c r="AU8" s="10"/>
      <c r="AV8" s="10"/>
      <c r="AW8" s="52"/>
      <c r="AX8" s="52"/>
      <c r="AY8" s="10"/>
      <c r="AZ8" s="10"/>
      <c r="BA8" s="10"/>
      <c r="BB8" s="10"/>
      <c r="BC8" s="10"/>
      <c r="BD8" s="52"/>
      <c r="BE8" s="52"/>
      <c r="BF8" s="10"/>
      <c r="BG8" s="10"/>
      <c r="BH8" s="10"/>
      <c r="BI8" s="10"/>
      <c r="BJ8" s="10"/>
      <c r="BK8" s="52"/>
      <c r="BL8" s="52"/>
    </row>
    <row r="9" spans="1:65" s="3" customFormat="1" ht="22.5" customHeight="1" thickBot="1">
      <c r="A9" s="26"/>
      <c r="B9" s="23" t="s">
        <v>4</v>
      </c>
      <c r="C9" s="20"/>
      <c r="D9" s="30"/>
      <c r="E9" s="34"/>
      <c r="F9" s="35"/>
      <c r="G9" s="41" t="str">
        <f>IF(OR(ISBLANK(E9),ISBLANK(F9)),"",F9-E9+1)</f>
        <v/>
      </c>
      <c r="H9" s="34"/>
      <c r="I9" s="35"/>
      <c r="J9" s="41"/>
      <c r="K9" s="10"/>
      <c r="L9" s="10"/>
      <c r="M9" s="10"/>
      <c r="N9" s="52"/>
      <c r="O9" s="52"/>
      <c r="P9" s="10"/>
      <c r="Q9" s="10"/>
      <c r="R9" s="10"/>
      <c r="S9" s="10"/>
      <c r="T9" s="10"/>
      <c r="U9" s="52"/>
      <c r="V9" s="52"/>
      <c r="W9" s="10"/>
      <c r="X9" s="10"/>
      <c r="Y9" s="10"/>
      <c r="Z9" s="10"/>
      <c r="AA9" s="10"/>
      <c r="AB9" s="52"/>
      <c r="AC9" s="52"/>
      <c r="AD9" s="10"/>
      <c r="AE9" s="10"/>
      <c r="AF9" s="10"/>
      <c r="AG9" s="10"/>
      <c r="AH9" s="10"/>
      <c r="AI9" s="52"/>
      <c r="AJ9" s="52"/>
      <c r="AK9" s="10"/>
      <c r="AL9" s="10"/>
      <c r="AM9" s="10"/>
      <c r="AN9" s="10"/>
      <c r="AO9" s="10"/>
      <c r="AP9" s="52"/>
      <c r="AQ9" s="52"/>
      <c r="AR9" s="10"/>
      <c r="AS9" s="10"/>
      <c r="AT9" s="10"/>
      <c r="AU9" s="10"/>
      <c r="AV9" s="10"/>
      <c r="AW9" s="52"/>
      <c r="AX9" s="52"/>
      <c r="AY9" s="10"/>
      <c r="AZ9" s="10"/>
      <c r="BA9" s="10"/>
      <c r="BB9" s="10"/>
      <c r="BC9" s="10"/>
      <c r="BD9" s="52"/>
      <c r="BE9" s="52"/>
      <c r="BF9" s="10"/>
      <c r="BG9" s="10"/>
      <c r="BH9" s="10"/>
      <c r="BI9" s="10"/>
      <c r="BJ9" s="10"/>
      <c r="BK9" s="52"/>
      <c r="BL9" s="52"/>
    </row>
    <row r="10" spans="1:65" s="3" customFormat="1" ht="22.5" customHeight="1" thickBot="1">
      <c r="A10" s="25"/>
      <c r="B10" s="9" t="s">
        <v>22</v>
      </c>
      <c r="C10" s="46" t="s">
        <v>125</v>
      </c>
      <c r="D10" s="29">
        <v>0</v>
      </c>
      <c r="E10" s="32">
        <v>43672</v>
      </c>
      <c r="F10" s="33">
        <f>E10</f>
        <v>43672</v>
      </c>
      <c r="G10" s="40">
        <v>1</v>
      </c>
      <c r="H10" s="32"/>
      <c r="I10" s="33"/>
      <c r="J10" s="40"/>
      <c r="K10" s="10"/>
      <c r="L10" s="10"/>
      <c r="M10" s="10"/>
      <c r="N10" s="52"/>
      <c r="O10" s="52"/>
      <c r="P10" s="10"/>
      <c r="Q10" s="10"/>
      <c r="R10" s="10"/>
      <c r="S10" s="10"/>
      <c r="T10" s="10"/>
      <c r="U10" s="52"/>
      <c r="V10" s="52"/>
      <c r="W10" s="10"/>
      <c r="X10" s="10"/>
      <c r="Y10" s="10"/>
      <c r="Z10" s="10"/>
      <c r="AA10" s="10"/>
      <c r="AB10" s="52"/>
      <c r="AC10" s="52"/>
      <c r="AD10" s="10"/>
      <c r="AE10" s="10"/>
      <c r="AF10" s="10"/>
      <c r="AG10" s="10"/>
      <c r="AH10" s="10"/>
      <c r="AI10" s="52"/>
      <c r="AJ10" s="52"/>
      <c r="AK10" s="10"/>
      <c r="AL10" s="10"/>
      <c r="AM10" s="10"/>
      <c r="AN10" s="10"/>
      <c r="AO10" s="10"/>
      <c r="AP10" s="52"/>
      <c r="AQ10" s="52"/>
      <c r="AR10" s="10"/>
      <c r="AS10" s="10"/>
      <c r="AT10" s="10"/>
      <c r="AU10" s="10"/>
      <c r="AV10" s="10"/>
      <c r="AW10" s="52"/>
      <c r="AX10" s="52"/>
      <c r="AY10" s="10"/>
      <c r="AZ10" s="10"/>
      <c r="BA10" s="10"/>
      <c r="BB10" s="10"/>
      <c r="BC10" s="10"/>
      <c r="BD10" s="52"/>
      <c r="BE10" s="52"/>
      <c r="BF10" s="10"/>
      <c r="BG10" s="10"/>
      <c r="BH10" s="10"/>
      <c r="BI10" s="10"/>
      <c r="BJ10" s="10"/>
      <c r="BK10" s="52"/>
      <c r="BL10" s="52"/>
    </row>
    <row r="11" spans="1:65" s="3" customFormat="1" ht="22.5" customHeight="1" thickBot="1">
      <c r="A11" s="25"/>
      <c r="B11" s="9" t="s">
        <v>24</v>
      </c>
      <c r="C11" s="46" t="s">
        <v>125</v>
      </c>
      <c r="D11" s="29">
        <v>0</v>
      </c>
      <c r="E11" s="32">
        <f>F10+3</f>
        <v>43675</v>
      </c>
      <c r="F11" s="33">
        <f>E11</f>
        <v>43675</v>
      </c>
      <c r="G11" s="40">
        <v>1</v>
      </c>
      <c r="H11" s="32"/>
      <c r="I11" s="33"/>
      <c r="J11" s="40"/>
      <c r="K11" s="10"/>
      <c r="L11" s="10"/>
      <c r="M11" s="10"/>
      <c r="N11" s="52"/>
      <c r="O11" s="52"/>
      <c r="P11" s="10"/>
      <c r="Q11" s="10"/>
      <c r="R11" s="10"/>
      <c r="S11" s="10"/>
      <c r="T11" s="10"/>
      <c r="U11" s="52"/>
      <c r="V11" s="52"/>
      <c r="W11" s="11"/>
      <c r="X11" s="11"/>
      <c r="Y11" s="10"/>
      <c r="Z11" s="10"/>
      <c r="AA11" s="10"/>
      <c r="AB11" s="52"/>
      <c r="AC11" s="52"/>
      <c r="AD11" s="10"/>
      <c r="AE11" s="10"/>
      <c r="AF11" s="10"/>
      <c r="AG11" s="10"/>
      <c r="AH11" s="10"/>
      <c r="AI11" s="52"/>
      <c r="AJ11" s="52"/>
      <c r="AK11" s="10"/>
      <c r="AL11" s="10"/>
      <c r="AM11" s="10"/>
      <c r="AN11" s="10"/>
      <c r="AO11" s="10"/>
      <c r="AP11" s="52"/>
      <c r="AQ11" s="52"/>
      <c r="AR11" s="10"/>
      <c r="AS11" s="10"/>
      <c r="AT11" s="10"/>
      <c r="AU11" s="10"/>
      <c r="AV11" s="10"/>
      <c r="AW11" s="52"/>
      <c r="AX11" s="52"/>
      <c r="AY11" s="10"/>
      <c r="AZ11" s="10"/>
      <c r="BA11" s="10"/>
      <c r="BB11" s="10"/>
      <c r="BC11" s="10"/>
      <c r="BD11" s="52"/>
      <c r="BE11" s="52"/>
      <c r="BF11" s="10"/>
      <c r="BG11" s="10"/>
      <c r="BH11" s="10"/>
      <c r="BI11" s="10"/>
      <c r="BJ11" s="10"/>
      <c r="BK11" s="52"/>
      <c r="BL11" s="52"/>
    </row>
    <row r="12" spans="1:65" s="3" customFormat="1" ht="22.5" customHeight="1" thickBot="1">
      <c r="A12" s="25"/>
      <c r="B12" s="9" t="s">
        <v>25</v>
      </c>
      <c r="C12" s="46" t="s">
        <v>27</v>
      </c>
      <c r="D12" s="29">
        <v>0</v>
      </c>
      <c r="E12" s="32">
        <f>F11+1</f>
        <v>43676</v>
      </c>
      <c r="F12" s="33">
        <f>E12+1</f>
        <v>43677</v>
      </c>
      <c r="G12" s="40">
        <v>2</v>
      </c>
      <c r="H12" s="32"/>
      <c r="I12" s="33"/>
      <c r="J12" s="40"/>
      <c r="K12" s="10"/>
      <c r="L12" s="10"/>
      <c r="M12" s="10"/>
      <c r="N12" s="52"/>
      <c r="O12" s="52"/>
      <c r="P12" s="10"/>
      <c r="Q12" s="10"/>
      <c r="R12" s="10"/>
      <c r="S12" s="10"/>
      <c r="T12" s="10"/>
      <c r="U12" s="52"/>
      <c r="V12" s="52"/>
      <c r="W12" s="10"/>
      <c r="X12" s="10"/>
      <c r="Y12" s="10"/>
      <c r="Z12" s="10"/>
      <c r="AA12" s="10"/>
      <c r="AB12" s="52"/>
      <c r="AC12" s="52"/>
      <c r="AD12" s="10"/>
      <c r="AE12" s="10"/>
      <c r="AF12" s="10"/>
      <c r="AG12" s="10"/>
      <c r="AH12" s="10"/>
      <c r="AI12" s="52"/>
      <c r="AJ12" s="52"/>
      <c r="AK12" s="10"/>
      <c r="AL12" s="10"/>
      <c r="AM12" s="10"/>
      <c r="AN12" s="10"/>
      <c r="AO12" s="10"/>
      <c r="AP12" s="52"/>
      <c r="AQ12" s="52"/>
      <c r="AR12" s="10"/>
      <c r="AS12" s="10"/>
      <c r="AT12" s="10"/>
      <c r="AU12" s="10"/>
      <c r="AV12" s="10"/>
      <c r="AW12" s="52"/>
      <c r="AX12" s="52"/>
      <c r="AY12" s="10"/>
      <c r="AZ12" s="10"/>
      <c r="BA12" s="10"/>
      <c r="BB12" s="10"/>
      <c r="BC12" s="10"/>
      <c r="BD12" s="52"/>
      <c r="BE12" s="52"/>
      <c r="BF12" s="10"/>
      <c r="BG12" s="10"/>
      <c r="BH12" s="10"/>
      <c r="BI12" s="10"/>
      <c r="BJ12" s="10"/>
      <c r="BK12" s="52"/>
      <c r="BL12" s="52"/>
    </row>
    <row r="13" spans="1:65" s="3" customFormat="1" ht="22.5" customHeight="1" thickBot="1">
      <c r="A13" s="25"/>
      <c r="B13" s="48" t="s">
        <v>129</v>
      </c>
      <c r="C13" s="46" t="s">
        <v>27</v>
      </c>
      <c r="D13" s="29">
        <v>0</v>
      </c>
      <c r="E13" s="32">
        <f>F12+1</f>
        <v>43678</v>
      </c>
      <c r="F13" s="33">
        <f>E13</f>
        <v>43678</v>
      </c>
      <c r="G13" s="40">
        <v>1</v>
      </c>
      <c r="H13" s="32"/>
      <c r="I13" s="33"/>
      <c r="J13" s="40"/>
      <c r="K13" s="10"/>
      <c r="L13" s="10"/>
      <c r="M13" s="10"/>
      <c r="N13" s="52"/>
      <c r="O13" s="52"/>
      <c r="P13" s="10"/>
      <c r="Q13" s="10"/>
      <c r="R13" s="10"/>
      <c r="S13" s="10"/>
      <c r="T13" s="10"/>
      <c r="U13" s="52"/>
      <c r="V13" s="52"/>
      <c r="W13" s="10"/>
      <c r="X13" s="10"/>
      <c r="Y13" s="10"/>
      <c r="Z13" s="10"/>
      <c r="AA13" s="11"/>
      <c r="AB13" s="52"/>
      <c r="AC13" s="52"/>
      <c r="AD13" s="10"/>
      <c r="AE13" s="10"/>
      <c r="AF13" s="10"/>
      <c r="AG13" s="10"/>
      <c r="AH13" s="10"/>
      <c r="AI13" s="52"/>
      <c r="AJ13" s="52"/>
      <c r="AK13" s="10"/>
      <c r="AL13" s="10"/>
      <c r="AM13" s="10"/>
      <c r="AN13" s="10"/>
      <c r="AO13" s="10"/>
      <c r="AP13" s="52"/>
      <c r="AQ13" s="52"/>
      <c r="AR13" s="10"/>
      <c r="AS13" s="10"/>
      <c r="AT13" s="10"/>
      <c r="AU13" s="10"/>
      <c r="AV13" s="10"/>
      <c r="AW13" s="52"/>
      <c r="AX13" s="52"/>
      <c r="AY13" s="10"/>
      <c r="AZ13" s="10"/>
      <c r="BA13" s="10"/>
      <c r="BB13" s="10"/>
      <c r="BC13" s="10"/>
      <c r="BD13" s="52"/>
      <c r="BE13" s="52"/>
      <c r="BF13" s="10"/>
      <c r="BG13" s="10"/>
      <c r="BH13" s="10"/>
      <c r="BI13" s="10"/>
      <c r="BJ13" s="10"/>
      <c r="BK13" s="52"/>
      <c r="BL13" s="52"/>
    </row>
    <row r="14" spans="1:65" s="3" customFormat="1" ht="22.5" customHeight="1" thickBot="1">
      <c r="A14" s="25"/>
      <c r="B14" s="48" t="s">
        <v>132</v>
      </c>
      <c r="C14" s="46" t="s">
        <v>27</v>
      </c>
      <c r="D14" s="29">
        <v>0</v>
      </c>
      <c r="E14" s="32">
        <f>F13+1</f>
        <v>43679</v>
      </c>
      <c r="F14" s="33">
        <f>E14+4</f>
        <v>43683</v>
      </c>
      <c r="G14" s="40">
        <v>3</v>
      </c>
      <c r="H14" s="32"/>
      <c r="I14" s="33"/>
      <c r="J14" s="40"/>
      <c r="K14" s="10"/>
      <c r="L14" s="10"/>
      <c r="M14" s="10"/>
      <c r="N14" s="52"/>
      <c r="O14" s="52"/>
      <c r="P14" s="10"/>
      <c r="Q14" s="10"/>
      <c r="R14" s="10"/>
      <c r="S14" s="10"/>
      <c r="T14" s="10"/>
      <c r="U14" s="52"/>
      <c r="V14" s="52"/>
      <c r="W14" s="10"/>
      <c r="X14" s="10"/>
      <c r="Y14" s="10"/>
      <c r="Z14" s="10"/>
      <c r="AA14" s="10"/>
      <c r="AB14" s="52"/>
      <c r="AC14" s="52"/>
      <c r="AD14" s="10"/>
      <c r="AE14" s="10"/>
      <c r="AF14" s="10"/>
      <c r="AG14" s="10"/>
      <c r="AH14" s="10"/>
      <c r="AI14" s="52"/>
      <c r="AJ14" s="52"/>
      <c r="AK14" s="10"/>
      <c r="AL14" s="10"/>
      <c r="AM14" s="10"/>
      <c r="AN14" s="10"/>
      <c r="AO14" s="10"/>
      <c r="AP14" s="52"/>
      <c r="AQ14" s="52"/>
      <c r="AR14" s="10"/>
      <c r="AS14" s="10"/>
      <c r="AT14" s="10"/>
      <c r="AU14" s="10"/>
      <c r="AV14" s="10"/>
      <c r="AW14" s="52"/>
      <c r="AX14" s="52"/>
      <c r="AY14" s="10"/>
      <c r="AZ14" s="10"/>
      <c r="BA14" s="10"/>
      <c r="BB14" s="10"/>
      <c r="BC14" s="10"/>
      <c r="BD14" s="52"/>
      <c r="BE14" s="52"/>
      <c r="BF14" s="10"/>
      <c r="BG14" s="10"/>
      <c r="BH14" s="10"/>
      <c r="BI14" s="10"/>
      <c r="BJ14" s="10"/>
      <c r="BK14" s="52"/>
      <c r="BL14" s="52"/>
    </row>
    <row r="15" spans="1:65" s="3" customFormat="1" ht="22.5" customHeight="1" thickBot="1">
      <c r="A15" s="25"/>
      <c r="B15" s="48" t="s">
        <v>130</v>
      </c>
      <c r="C15" s="46" t="s">
        <v>27</v>
      </c>
      <c r="D15" s="29">
        <v>0</v>
      </c>
      <c r="E15" s="32">
        <f>F14+1</f>
        <v>43684</v>
      </c>
      <c r="F15" s="33">
        <f>E15+2</f>
        <v>43686</v>
      </c>
      <c r="G15" s="40">
        <v>2</v>
      </c>
      <c r="H15" s="32"/>
      <c r="I15" s="33"/>
      <c r="J15" s="40"/>
      <c r="K15" s="10"/>
      <c r="L15" s="10"/>
      <c r="M15" s="10"/>
      <c r="N15" s="52"/>
      <c r="O15" s="52"/>
      <c r="P15" s="10"/>
      <c r="Q15" s="10"/>
      <c r="R15" s="10"/>
      <c r="S15" s="10"/>
      <c r="T15" s="10"/>
      <c r="U15" s="52"/>
      <c r="V15" s="52"/>
      <c r="W15" s="10"/>
      <c r="X15" s="10"/>
      <c r="Y15" s="10"/>
      <c r="Z15" s="10"/>
      <c r="AA15" s="10"/>
      <c r="AB15" s="52"/>
      <c r="AC15" s="52"/>
      <c r="AD15" s="10"/>
      <c r="AE15" s="10"/>
      <c r="AF15" s="10"/>
      <c r="AG15" s="10"/>
      <c r="AH15" s="10"/>
      <c r="AI15" s="52"/>
      <c r="AJ15" s="52"/>
      <c r="AK15" s="10"/>
      <c r="AL15" s="10"/>
      <c r="AM15" s="10"/>
      <c r="AN15" s="10"/>
      <c r="AO15" s="10"/>
      <c r="AP15" s="52"/>
      <c r="AQ15" s="52"/>
      <c r="AR15" s="10"/>
      <c r="AS15" s="10"/>
      <c r="AT15" s="10"/>
      <c r="AU15" s="10"/>
      <c r="AV15" s="10"/>
      <c r="AW15" s="52"/>
      <c r="AX15" s="52"/>
      <c r="AY15" s="10"/>
      <c r="AZ15" s="10"/>
      <c r="BA15" s="10"/>
      <c r="BB15" s="10"/>
      <c r="BC15" s="10"/>
      <c r="BD15" s="52"/>
      <c r="BE15" s="52"/>
      <c r="BF15" s="10"/>
      <c r="BG15" s="10"/>
      <c r="BH15" s="10"/>
      <c r="BI15" s="10"/>
      <c r="BJ15" s="10"/>
      <c r="BK15" s="52"/>
      <c r="BL15" s="52"/>
    </row>
    <row r="16" spans="1:65" s="3" customFormat="1" ht="22.5" customHeight="1" thickBot="1">
      <c r="A16" s="25"/>
      <c r="B16" s="48" t="s">
        <v>131</v>
      </c>
      <c r="C16" s="46" t="s">
        <v>27</v>
      </c>
      <c r="D16" s="29">
        <v>0</v>
      </c>
      <c r="E16" s="32">
        <f>F15+3</f>
        <v>43689</v>
      </c>
      <c r="F16" s="33">
        <f>E16</f>
        <v>43689</v>
      </c>
      <c r="G16" s="40">
        <v>1</v>
      </c>
      <c r="H16" s="32"/>
      <c r="I16" s="33"/>
      <c r="J16" s="40"/>
      <c r="K16" s="10"/>
      <c r="L16" s="10"/>
      <c r="M16" s="10"/>
      <c r="N16" s="52"/>
      <c r="O16" s="52"/>
      <c r="P16" s="10"/>
      <c r="Q16" s="10"/>
      <c r="R16" s="10"/>
      <c r="S16" s="10"/>
      <c r="T16" s="10"/>
      <c r="U16" s="52"/>
      <c r="V16" s="52"/>
      <c r="W16" s="10"/>
      <c r="X16" s="10"/>
      <c r="Y16" s="10"/>
      <c r="Z16" s="10"/>
      <c r="AA16" s="10"/>
      <c r="AB16" s="52"/>
      <c r="AC16" s="52"/>
      <c r="AD16" s="10"/>
      <c r="AE16" s="10"/>
      <c r="AF16" s="10"/>
      <c r="AG16" s="10"/>
      <c r="AH16" s="10"/>
      <c r="AI16" s="52"/>
      <c r="AJ16" s="52"/>
      <c r="AK16" s="10"/>
      <c r="AL16" s="10"/>
      <c r="AM16" s="10"/>
      <c r="AN16" s="10"/>
      <c r="AO16" s="10"/>
      <c r="AP16" s="52"/>
      <c r="AQ16" s="52"/>
      <c r="AR16" s="10"/>
      <c r="AS16" s="10"/>
      <c r="AT16" s="10"/>
      <c r="AU16" s="10"/>
      <c r="AV16" s="10"/>
      <c r="AW16" s="52"/>
      <c r="AX16" s="52"/>
      <c r="AY16" s="10"/>
      <c r="AZ16" s="10"/>
      <c r="BA16" s="10"/>
      <c r="BB16" s="10"/>
      <c r="BC16" s="10"/>
      <c r="BD16" s="52"/>
      <c r="BE16" s="52"/>
      <c r="BF16" s="10"/>
      <c r="BG16" s="10"/>
      <c r="BH16" s="10"/>
      <c r="BI16" s="10"/>
      <c r="BJ16" s="10"/>
      <c r="BK16" s="52"/>
      <c r="BL16" s="52"/>
    </row>
    <row r="17" spans="1:64" s="3" customFormat="1" ht="22.5" customHeight="1" thickBot="1">
      <c r="A17" s="25"/>
      <c r="B17" s="9" t="s">
        <v>26</v>
      </c>
      <c r="C17" s="46" t="s">
        <v>27</v>
      </c>
      <c r="D17" s="29">
        <v>0</v>
      </c>
      <c r="E17" s="32">
        <f>F16+1</f>
        <v>43690</v>
      </c>
      <c r="F17" s="33">
        <f>E17+3</f>
        <v>43693</v>
      </c>
      <c r="G17" s="40">
        <v>4</v>
      </c>
      <c r="H17" s="32"/>
      <c r="I17" s="33"/>
      <c r="J17" s="40"/>
      <c r="K17" s="10"/>
      <c r="L17" s="10"/>
      <c r="M17" s="10"/>
      <c r="N17" s="52"/>
      <c r="O17" s="52"/>
      <c r="P17" s="10"/>
      <c r="Q17" s="10"/>
      <c r="R17" s="10"/>
      <c r="S17" s="10"/>
      <c r="T17" s="10"/>
      <c r="U17" s="52"/>
      <c r="V17" s="52"/>
      <c r="W17" s="10"/>
      <c r="X17" s="10"/>
      <c r="Y17" s="10"/>
      <c r="Z17" s="10"/>
      <c r="AA17" s="10"/>
      <c r="AB17" s="52"/>
      <c r="AC17" s="52"/>
      <c r="AD17" s="10"/>
      <c r="AE17" s="10"/>
      <c r="AF17" s="10"/>
      <c r="AG17" s="10"/>
      <c r="AH17" s="10"/>
      <c r="AI17" s="52"/>
      <c r="AJ17" s="52"/>
      <c r="AK17" s="10"/>
      <c r="AL17" s="10"/>
      <c r="AM17" s="10"/>
      <c r="AN17" s="10"/>
      <c r="AO17" s="10"/>
      <c r="AP17" s="52"/>
      <c r="AQ17" s="52"/>
      <c r="AR17" s="10"/>
      <c r="AS17" s="10"/>
      <c r="AT17" s="10"/>
      <c r="AU17" s="10"/>
      <c r="AV17" s="10"/>
      <c r="AW17" s="52"/>
      <c r="AX17" s="52"/>
      <c r="AY17" s="10"/>
      <c r="AZ17" s="10"/>
      <c r="BA17" s="10"/>
      <c r="BB17" s="10"/>
      <c r="BC17" s="10"/>
      <c r="BD17" s="52"/>
      <c r="BE17" s="52"/>
      <c r="BF17" s="10"/>
      <c r="BG17" s="10"/>
      <c r="BH17" s="10"/>
      <c r="BI17" s="10"/>
      <c r="BJ17" s="10"/>
      <c r="BK17" s="52"/>
      <c r="BL17" s="52"/>
    </row>
    <row r="18" spans="1:64" s="3" customFormat="1" ht="22.5" customHeight="1" thickBot="1">
      <c r="A18" s="25"/>
      <c r="B18" s="48" t="s">
        <v>128</v>
      </c>
      <c r="C18" s="46" t="s">
        <v>125</v>
      </c>
      <c r="D18" s="29">
        <v>0</v>
      </c>
      <c r="E18" s="32">
        <v>43672</v>
      </c>
      <c r="F18" s="32">
        <v>43675</v>
      </c>
      <c r="G18" s="40">
        <v>2</v>
      </c>
      <c r="H18" s="32"/>
      <c r="I18" s="33"/>
      <c r="J18" s="40"/>
      <c r="K18" s="10"/>
      <c r="L18" s="10"/>
      <c r="M18" s="10"/>
      <c r="N18" s="52"/>
      <c r="O18" s="52"/>
      <c r="P18" s="10"/>
      <c r="Q18" s="10"/>
      <c r="R18" s="10"/>
      <c r="S18" s="10"/>
      <c r="T18" s="10"/>
      <c r="U18" s="52"/>
      <c r="V18" s="52"/>
      <c r="W18" s="10"/>
      <c r="X18" s="10"/>
      <c r="Y18" s="10"/>
      <c r="Z18" s="10"/>
      <c r="AA18" s="10"/>
      <c r="AB18" s="52"/>
      <c r="AC18" s="52"/>
      <c r="AD18" s="10"/>
      <c r="AE18" s="10"/>
      <c r="AF18" s="10"/>
      <c r="AG18" s="10"/>
      <c r="AH18" s="10"/>
      <c r="AI18" s="52"/>
      <c r="AJ18" s="52"/>
      <c r="AK18" s="10"/>
      <c r="AL18" s="10"/>
      <c r="AM18" s="10"/>
      <c r="AN18" s="10"/>
      <c r="AO18" s="10"/>
      <c r="AP18" s="52"/>
      <c r="AQ18" s="52"/>
      <c r="AR18" s="10"/>
      <c r="AS18" s="10"/>
      <c r="AT18" s="10"/>
      <c r="AU18" s="10"/>
      <c r="AV18" s="10"/>
      <c r="AW18" s="52"/>
      <c r="AX18" s="52"/>
      <c r="AY18" s="10"/>
      <c r="AZ18" s="10"/>
      <c r="BA18" s="10"/>
      <c r="BB18" s="10"/>
      <c r="BC18" s="10"/>
      <c r="BD18" s="52"/>
      <c r="BE18" s="52"/>
      <c r="BF18" s="10"/>
      <c r="BG18" s="10"/>
      <c r="BH18" s="10"/>
      <c r="BI18" s="10"/>
      <c r="BJ18" s="10"/>
      <c r="BK18" s="52"/>
      <c r="BL18" s="52"/>
    </row>
    <row r="19" spans="1:64" s="3" customFormat="1" ht="22.5" customHeight="1" thickBot="1">
      <c r="A19" s="25"/>
      <c r="B19" s="48" t="s">
        <v>127</v>
      </c>
      <c r="C19" s="46" t="s">
        <v>125</v>
      </c>
      <c r="D19" s="29">
        <v>0</v>
      </c>
      <c r="E19" s="32">
        <v>43676</v>
      </c>
      <c r="F19" s="32">
        <v>43679</v>
      </c>
      <c r="G19" s="40">
        <v>3</v>
      </c>
      <c r="H19" s="32"/>
      <c r="I19" s="33"/>
      <c r="J19" s="40"/>
      <c r="K19" s="10"/>
      <c r="L19" s="10"/>
      <c r="M19" s="10"/>
      <c r="N19" s="52"/>
      <c r="O19" s="52"/>
      <c r="P19" s="10"/>
      <c r="Q19" s="10"/>
      <c r="R19" s="10"/>
      <c r="S19" s="10"/>
      <c r="T19" s="10"/>
      <c r="U19" s="52"/>
      <c r="V19" s="52"/>
      <c r="W19" s="10"/>
      <c r="X19" s="10"/>
      <c r="Y19" s="10"/>
      <c r="Z19" s="10"/>
      <c r="AA19" s="10"/>
      <c r="AB19" s="52"/>
      <c r="AC19" s="52"/>
      <c r="AD19" s="10"/>
      <c r="AE19" s="10"/>
      <c r="AF19" s="10"/>
      <c r="AG19" s="10"/>
      <c r="AH19" s="10"/>
      <c r="AI19" s="52"/>
      <c r="AJ19" s="52"/>
      <c r="AK19" s="10"/>
      <c r="AL19" s="10"/>
      <c r="AM19" s="10"/>
      <c r="AN19" s="10"/>
      <c r="AO19" s="10"/>
      <c r="AP19" s="52"/>
      <c r="AQ19" s="52"/>
      <c r="AR19" s="10"/>
      <c r="AS19" s="10"/>
      <c r="AT19" s="10"/>
      <c r="AU19" s="10"/>
      <c r="AV19" s="10"/>
      <c r="AW19" s="52"/>
      <c r="AX19" s="52"/>
      <c r="AY19" s="10"/>
      <c r="AZ19" s="10"/>
      <c r="BA19" s="10"/>
      <c r="BB19" s="10"/>
      <c r="BC19" s="10"/>
      <c r="BD19" s="52"/>
      <c r="BE19" s="52"/>
      <c r="BF19" s="10"/>
      <c r="BG19" s="10"/>
      <c r="BH19" s="10"/>
      <c r="BI19" s="10"/>
      <c r="BJ19" s="10"/>
      <c r="BK19" s="52"/>
      <c r="BL19" s="52"/>
    </row>
    <row r="20" spans="1:64" s="3" customFormat="1" ht="22.5" customHeight="1" thickBot="1">
      <c r="A20" s="25"/>
      <c r="B20" s="48" t="s">
        <v>133</v>
      </c>
      <c r="C20" s="46" t="s">
        <v>125</v>
      </c>
      <c r="D20" s="29">
        <v>0</v>
      </c>
      <c r="E20" s="32">
        <v>43682</v>
      </c>
      <c r="F20" s="32">
        <v>43683</v>
      </c>
      <c r="G20" s="40">
        <v>2</v>
      </c>
      <c r="H20" s="32"/>
      <c r="I20" s="33"/>
      <c r="J20" s="40"/>
      <c r="K20" s="10"/>
      <c r="L20" s="10"/>
      <c r="M20" s="10"/>
      <c r="N20" s="52"/>
      <c r="O20" s="52"/>
      <c r="P20" s="10"/>
      <c r="Q20" s="10"/>
      <c r="R20" s="10"/>
      <c r="S20" s="10"/>
      <c r="T20" s="10"/>
      <c r="U20" s="52"/>
      <c r="V20" s="52"/>
      <c r="W20" s="10"/>
      <c r="X20" s="10"/>
      <c r="Y20" s="10"/>
      <c r="Z20" s="10"/>
      <c r="AA20" s="10"/>
      <c r="AB20" s="52"/>
      <c r="AC20" s="52"/>
      <c r="AD20" s="10"/>
      <c r="AE20" s="10"/>
      <c r="AF20" s="10"/>
      <c r="AG20" s="10"/>
      <c r="AH20" s="10"/>
      <c r="AI20" s="52"/>
      <c r="AJ20" s="52"/>
      <c r="AK20" s="10"/>
      <c r="AL20" s="10"/>
      <c r="AM20" s="10"/>
      <c r="AN20" s="10"/>
      <c r="AO20" s="10"/>
      <c r="AP20" s="52"/>
      <c r="AQ20" s="52"/>
      <c r="AR20" s="10"/>
      <c r="AS20" s="10"/>
      <c r="AT20" s="10"/>
      <c r="AU20" s="10"/>
      <c r="AV20" s="10"/>
      <c r="AW20" s="52"/>
      <c r="AX20" s="52"/>
      <c r="AY20" s="10"/>
      <c r="AZ20" s="10"/>
      <c r="BA20" s="10"/>
      <c r="BB20" s="10"/>
      <c r="BC20" s="10"/>
      <c r="BD20" s="52"/>
      <c r="BE20" s="52"/>
      <c r="BF20" s="10"/>
      <c r="BG20" s="10"/>
      <c r="BH20" s="10"/>
      <c r="BI20" s="10"/>
      <c r="BJ20" s="10"/>
      <c r="BK20" s="52"/>
      <c r="BL20" s="52"/>
    </row>
    <row r="21" spans="1:64" s="3" customFormat="1" ht="22.5" customHeight="1" thickBot="1">
      <c r="A21" s="25"/>
      <c r="B21" s="48" t="s">
        <v>126</v>
      </c>
      <c r="C21" s="46" t="s">
        <v>125</v>
      </c>
      <c r="D21" s="29">
        <v>0</v>
      </c>
      <c r="E21" s="32">
        <v>43684</v>
      </c>
      <c r="F21" s="32">
        <v>43686</v>
      </c>
      <c r="G21" s="40">
        <v>3</v>
      </c>
      <c r="H21" s="32"/>
      <c r="I21" s="33"/>
      <c r="J21" s="40"/>
      <c r="K21" s="10"/>
      <c r="L21" s="10"/>
      <c r="M21" s="10"/>
      <c r="N21" s="52"/>
      <c r="O21" s="52"/>
      <c r="P21" s="10"/>
      <c r="Q21" s="10"/>
      <c r="R21" s="10"/>
      <c r="S21" s="10"/>
      <c r="T21" s="10"/>
      <c r="U21" s="52"/>
      <c r="V21" s="52"/>
      <c r="W21" s="10"/>
      <c r="X21" s="10"/>
      <c r="Y21" s="10"/>
      <c r="Z21" s="10"/>
      <c r="AA21" s="10"/>
      <c r="AB21" s="52"/>
      <c r="AC21" s="52"/>
      <c r="AD21" s="10"/>
      <c r="AE21" s="10"/>
      <c r="AF21" s="10"/>
      <c r="AG21" s="10"/>
      <c r="AH21" s="10"/>
      <c r="AI21" s="52"/>
      <c r="AJ21" s="52"/>
      <c r="AK21" s="10"/>
      <c r="AL21" s="10"/>
      <c r="AM21" s="10"/>
      <c r="AN21" s="10"/>
      <c r="AO21" s="10"/>
      <c r="AP21" s="52"/>
      <c r="AQ21" s="52"/>
      <c r="AR21" s="10"/>
      <c r="AS21" s="10"/>
      <c r="AT21" s="10"/>
      <c r="AU21" s="10"/>
      <c r="AV21" s="10"/>
      <c r="AW21" s="52"/>
      <c r="AX21" s="52"/>
      <c r="AY21" s="10"/>
      <c r="AZ21" s="10"/>
      <c r="BA21" s="10"/>
      <c r="BB21" s="10"/>
      <c r="BC21" s="10"/>
      <c r="BD21" s="52"/>
      <c r="BE21" s="52"/>
      <c r="BF21" s="10"/>
      <c r="BG21" s="10"/>
      <c r="BH21" s="10"/>
      <c r="BI21" s="10"/>
      <c r="BJ21" s="10"/>
      <c r="BK21" s="52"/>
      <c r="BL21" s="52"/>
    </row>
    <row r="22" spans="1:64" s="3" customFormat="1" ht="22.5" customHeight="1" thickBot="1">
      <c r="A22" s="25"/>
      <c r="B22" s="48" t="s">
        <v>28</v>
      </c>
      <c r="C22" s="46" t="s">
        <v>31</v>
      </c>
      <c r="D22" s="29">
        <v>0</v>
      </c>
      <c r="E22" s="32">
        <v>43696</v>
      </c>
      <c r="F22" s="32">
        <v>43699</v>
      </c>
      <c r="G22" s="40">
        <v>4</v>
      </c>
      <c r="H22" s="32"/>
      <c r="I22" s="33"/>
      <c r="J22" s="40"/>
      <c r="K22" s="10"/>
      <c r="L22" s="10"/>
      <c r="M22" s="10"/>
      <c r="N22" s="52"/>
      <c r="O22" s="52"/>
      <c r="P22" s="10"/>
      <c r="Q22" s="10"/>
      <c r="R22" s="10"/>
      <c r="S22" s="10"/>
      <c r="T22" s="10"/>
      <c r="U22" s="52"/>
      <c r="V22" s="52"/>
      <c r="W22" s="11"/>
      <c r="X22" s="10"/>
      <c r="Y22" s="10"/>
      <c r="Z22" s="11"/>
      <c r="AA22" s="10"/>
      <c r="AB22" s="52"/>
      <c r="AC22" s="52"/>
      <c r="AD22" s="10"/>
      <c r="AE22" s="10"/>
      <c r="AF22" s="10"/>
      <c r="AG22" s="10"/>
      <c r="AH22" s="10"/>
      <c r="AI22" s="52"/>
      <c r="AJ22" s="52"/>
      <c r="AK22" s="10"/>
      <c r="AL22" s="10"/>
      <c r="AM22" s="10"/>
      <c r="AN22" s="10"/>
      <c r="AO22" s="10"/>
      <c r="AP22" s="52"/>
      <c r="AQ22" s="52"/>
      <c r="AR22" s="10"/>
      <c r="AS22" s="10"/>
      <c r="AT22" s="10"/>
      <c r="AU22" s="10"/>
      <c r="AV22" s="10"/>
      <c r="AW22" s="52"/>
      <c r="AX22" s="52"/>
      <c r="AY22" s="10"/>
      <c r="AZ22" s="10"/>
      <c r="BA22" s="10"/>
      <c r="BB22" s="10"/>
      <c r="BC22" s="10"/>
      <c r="BD22" s="52"/>
      <c r="BE22" s="52"/>
      <c r="BF22" s="10"/>
      <c r="BG22" s="10"/>
      <c r="BH22" s="10"/>
      <c r="BI22" s="10"/>
      <c r="BJ22" s="10"/>
      <c r="BK22" s="52"/>
      <c r="BL22" s="52"/>
    </row>
    <row r="23" spans="1:64" s="3" customFormat="1" ht="22.5" customHeight="1" thickBot="1">
      <c r="A23" s="26"/>
      <c r="B23" s="23" t="s">
        <v>5</v>
      </c>
      <c r="C23" s="20"/>
      <c r="D23" s="30"/>
      <c r="E23" s="34"/>
      <c r="F23" s="35"/>
      <c r="G23" s="41" t="str">
        <f t="shared" ref="G23:G27" si="3">IF(OR(ISBLANK(E23),ISBLANK(F23)),"",F23-E23+1)</f>
        <v/>
      </c>
      <c r="H23" s="34"/>
      <c r="I23" s="35"/>
      <c r="J23" s="41"/>
      <c r="K23" s="10"/>
      <c r="L23" s="10"/>
      <c r="M23" s="10"/>
      <c r="N23" s="52"/>
      <c r="O23" s="52"/>
      <c r="P23" s="10"/>
      <c r="Q23" s="10"/>
      <c r="R23" s="10"/>
      <c r="S23" s="10"/>
      <c r="T23" s="10"/>
      <c r="U23" s="52"/>
      <c r="V23" s="52"/>
      <c r="W23" s="10"/>
      <c r="X23" s="10"/>
      <c r="Y23" s="10"/>
      <c r="Z23" s="10"/>
      <c r="AA23" s="10"/>
      <c r="AB23" s="52"/>
      <c r="AC23" s="52"/>
      <c r="AD23" s="10"/>
      <c r="AE23" s="10"/>
      <c r="AF23" s="10"/>
      <c r="AG23" s="10"/>
      <c r="AH23" s="10"/>
      <c r="AI23" s="52"/>
      <c r="AJ23" s="52"/>
      <c r="AK23" s="10"/>
      <c r="AL23" s="10"/>
      <c r="AM23" s="10"/>
      <c r="AN23" s="10"/>
      <c r="AO23" s="10"/>
      <c r="AP23" s="52"/>
      <c r="AQ23" s="52"/>
      <c r="AR23" s="10"/>
      <c r="AS23" s="10"/>
      <c r="AT23" s="10"/>
      <c r="AU23" s="10"/>
      <c r="AV23" s="10"/>
      <c r="AW23" s="52"/>
      <c r="AX23" s="52"/>
      <c r="AY23" s="10"/>
      <c r="AZ23" s="10"/>
      <c r="BA23" s="10"/>
      <c r="BB23" s="10"/>
      <c r="BC23" s="10"/>
      <c r="BD23" s="52"/>
      <c r="BE23" s="52"/>
      <c r="BF23" s="10"/>
      <c r="BG23" s="10"/>
      <c r="BH23" s="10"/>
      <c r="BI23" s="10"/>
      <c r="BJ23" s="10"/>
      <c r="BK23" s="52"/>
      <c r="BL23" s="52"/>
    </row>
    <row r="24" spans="1:64" s="3" customFormat="1" ht="22.5" customHeight="1" thickBot="1">
      <c r="A24" s="25"/>
      <c r="B24" s="48" t="s">
        <v>134</v>
      </c>
      <c r="C24" s="46" t="s">
        <v>27</v>
      </c>
      <c r="D24" s="29">
        <v>0</v>
      </c>
      <c r="E24" s="32">
        <v>43703</v>
      </c>
      <c r="F24" s="33">
        <f>E24+1</f>
        <v>43704</v>
      </c>
      <c r="G24" s="40">
        <v>2</v>
      </c>
      <c r="H24" s="32"/>
      <c r="I24" s="33"/>
      <c r="J24" s="40"/>
      <c r="K24" s="10"/>
      <c r="L24" s="10"/>
      <c r="M24" s="10"/>
      <c r="N24" s="52"/>
      <c r="O24" s="52"/>
      <c r="P24" s="10"/>
      <c r="Q24" s="10"/>
      <c r="R24" s="10"/>
      <c r="S24" s="10"/>
      <c r="T24" s="10"/>
      <c r="U24" s="52"/>
      <c r="V24" s="52"/>
      <c r="W24" s="10"/>
      <c r="X24" s="10"/>
      <c r="Y24" s="10"/>
      <c r="Z24" s="10"/>
      <c r="AA24" s="10"/>
      <c r="AB24" s="52"/>
      <c r="AC24" s="52"/>
      <c r="AD24" s="10"/>
      <c r="AE24" s="10"/>
      <c r="AF24" s="10"/>
      <c r="AG24" s="10"/>
      <c r="AH24" s="10"/>
      <c r="AI24" s="52"/>
      <c r="AJ24" s="52"/>
      <c r="AK24" s="10"/>
      <c r="AL24" s="10"/>
      <c r="AM24" s="10"/>
      <c r="AN24" s="10"/>
      <c r="AO24" s="10"/>
      <c r="AP24" s="52"/>
      <c r="AQ24" s="52"/>
      <c r="AR24" s="10"/>
      <c r="AS24" s="10"/>
      <c r="AT24" s="10"/>
      <c r="AU24" s="10"/>
      <c r="AV24" s="10"/>
      <c r="AW24" s="52"/>
      <c r="AX24" s="52"/>
      <c r="AY24" s="10"/>
      <c r="AZ24" s="10"/>
      <c r="BA24" s="10"/>
      <c r="BB24" s="10"/>
      <c r="BC24" s="10"/>
      <c r="BD24" s="52"/>
      <c r="BE24" s="52"/>
      <c r="BF24" s="10"/>
      <c r="BG24" s="10"/>
      <c r="BH24" s="10"/>
      <c r="BI24" s="10"/>
      <c r="BJ24" s="10"/>
      <c r="BK24" s="52"/>
      <c r="BL24" s="52"/>
    </row>
    <row r="25" spans="1:64" s="3" customFormat="1" ht="22.5" customHeight="1" thickBot="1">
      <c r="A25" s="25"/>
      <c r="B25" s="48" t="s">
        <v>135</v>
      </c>
      <c r="C25" s="46" t="s">
        <v>27</v>
      </c>
      <c r="D25" s="29">
        <v>0</v>
      </c>
      <c r="E25" s="32">
        <v>43705</v>
      </c>
      <c r="F25" s="33">
        <f>E25+2</f>
        <v>43707</v>
      </c>
      <c r="G25" s="40">
        <v>3</v>
      </c>
      <c r="H25" s="32"/>
      <c r="I25" s="33"/>
      <c r="J25" s="40"/>
      <c r="K25" s="10"/>
      <c r="L25" s="10"/>
      <c r="M25" s="10"/>
      <c r="N25" s="52"/>
      <c r="O25" s="52"/>
      <c r="P25" s="10"/>
      <c r="Q25" s="10"/>
      <c r="R25" s="10"/>
      <c r="S25" s="10"/>
      <c r="T25" s="10"/>
      <c r="U25" s="52"/>
      <c r="V25" s="52"/>
      <c r="W25" s="10"/>
      <c r="X25" s="10"/>
      <c r="Y25" s="10"/>
      <c r="Z25" s="10"/>
      <c r="AA25" s="10"/>
      <c r="AB25" s="52"/>
      <c r="AC25" s="52"/>
      <c r="AD25" s="10"/>
      <c r="AE25" s="10"/>
      <c r="AF25" s="10"/>
      <c r="AG25" s="10"/>
      <c r="AH25" s="10"/>
      <c r="AI25" s="52"/>
      <c r="AJ25" s="52"/>
      <c r="AK25" s="10"/>
      <c r="AL25" s="10"/>
      <c r="AM25" s="10"/>
      <c r="AN25" s="10"/>
      <c r="AO25" s="10"/>
      <c r="AP25" s="52"/>
      <c r="AQ25" s="52"/>
      <c r="AR25" s="10"/>
      <c r="AS25" s="10"/>
      <c r="AT25" s="10"/>
      <c r="AU25" s="10"/>
      <c r="AV25" s="10"/>
      <c r="AW25" s="52"/>
      <c r="AX25" s="52"/>
      <c r="AY25" s="10"/>
      <c r="AZ25" s="10"/>
      <c r="BA25" s="10"/>
      <c r="BB25" s="10"/>
      <c r="BC25" s="10"/>
      <c r="BD25" s="52"/>
      <c r="BE25" s="52"/>
      <c r="BF25" s="10"/>
      <c r="BG25" s="10"/>
      <c r="BH25" s="10"/>
      <c r="BI25" s="10"/>
      <c r="BJ25" s="10"/>
      <c r="BK25" s="52"/>
      <c r="BL25" s="52"/>
    </row>
    <row r="26" spans="1:64" s="3" customFormat="1" ht="22.5" customHeight="1" thickBot="1">
      <c r="A26" s="25"/>
      <c r="B26" s="9" t="s">
        <v>29</v>
      </c>
      <c r="C26" s="46" t="s">
        <v>27</v>
      </c>
      <c r="D26" s="29">
        <v>0</v>
      </c>
      <c r="E26" s="32">
        <f>F25+3</f>
        <v>43710</v>
      </c>
      <c r="F26" s="33">
        <f>E26</f>
        <v>43710</v>
      </c>
      <c r="G26" s="40">
        <v>1</v>
      </c>
      <c r="H26" s="32"/>
      <c r="I26" s="33"/>
      <c r="J26" s="40"/>
      <c r="K26" s="10"/>
      <c r="L26" s="10"/>
      <c r="M26" s="10"/>
      <c r="N26" s="52"/>
      <c r="O26" s="52"/>
      <c r="P26" s="10"/>
      <c r="Q26" s="10"/>
      <c r="R26" s="10"/>
      <c r="S26" s="10"/>
      <c r="T26" s="10"/>
      <c r="U26" s="52"/>
      <c r="V26" s="52"/>
      <c r="W26" s="10"/>
      <c r="X26" s="10"/>
      <c r="Y26" s="10"/>
      <c r="Z26" s="10"/>
      <c r="AA26" s="10"/>
      <c r="AB26" s="52"/>
      <c r="AC26" s="52"/>
      <c r="AD26" s="10"/>
      <c r="AE26" s="10"/>
      <c r="AF26" s="10"/>
      <c r="AG26" s="10"/>
      <c r="AH26" s="10"/>
      <c r="AI26" s="52"/>
      <c r="AJ26" s="52"/>
      <c r="AK26" s="10"/>
      <c r="AL26" s="10"/>
      <c r="AM26" s="10"/>
      <c r="AN26" s="10"/>
      <c r="AO26" s="10"/>
      <c r="AP26" s="52"/>
      <c r="AQ26" s="52"/>
      <c r="AR26" s="10"/>
      <c r="AS26" s="10"/>
      <c r="AT26" s="10"/>
      <c r="AU26" s="10"/>
      <c r="AV26" s="10"/>
      <c r="AW26" s="52"/>
      <c r="AX26" s="52"/>
      <c r="AY26" s="10"/>
      <c r="AZ26" s="10"/>
      <c r="BA26" s="10"/>
      <c r="BB26" s="10"/>
      <c r="BC26" s="10"/>
      <c r="BD26" s="52"/>
      <c r="BE26" s="52"/>
      <c r="BF26" s="10"/>
      <c r="BG26" s="10"/>
      <c r="BH26" s="10"/>
      <c r="BI26" s="10"/>
      <c r="BJ26" s="10"/>
      <c r="BK26" s="52"/>
      <c r="BL26" s="52"/>
    </row>
    <row r="27" spans="1:64" s="3" customFormat="1" ht="22.5" customHeight="1" thickBot="1">
      <c r="A27" s="25"/>
      <c r="B27" s="9" t="s">
        <v>30</v>
      </c>
      <c r="C27" s="46" t="s">
        <v>31</v>
      </c>
      <c r="D27" s="29">
        <v>0</v>
      </c>
      <c r="E27" s="32">
        <f>F26+1</f>
        <v>43711</v>
      </c>
      <c r="F27" s="33">
        <f>E27+1</f>
        <v>43712</v>
      </c>
      <c r="G27" s="40">
        <v>2</v>
      </c>
      <c r="H27" s="32"/>
      <c r="I27" s="33"/>
      <c r="J27" s="40"/>
      <c r="K27" s="10"/>
      <c r="L27" s="10"/>
      <c r="M27" s="10"/>
      <c r="N27" s="52"/>
      <c r="O27" s="52"/>
      <c r="P27" s="10"/>
      <c r="Q27" s="10"/>
      <c r="R27" s="10"/>
      <c r="S27" s="10"/>
      <c r="T27" s="10"/>
      <c r="U27" s="52"/>
      <c r="V27" s="52"/>
      <c r="W27" s="10"/>
      <c r="X27" s="10"/>
      <c r="Y27" s="10"/>
      <c r="Z27" s="10"/>
      <c r="AA27" s="10"/>
      <c r="AB27" s="52"/>
      <c r="AC27" s="52"/>
      <c r="AD27" s="10"/>
      <c r="AE27" s="10"/>
      <c r="AF27" s="10"/>
      <c r="AG27" s="10"/>
      <c r="AH27" s="10"/>
      <c r="AI27" s="52"/>
      <c r="AJ27" s="52"/>
      <c r="AK27" s="10"/>
      <c r="AL27" s="10"/>
      <c r="AM27" s="10"/>
      <c r="AN27" s="10"/>
      <c r="AO27" s="10"/>
      <c r="AP27" s="52"/>
      <c r="AQ27" s="52"/>
      <c r="AR27" s="10"/>
      <c r="AS27" s="10"/>
      <c r="AT27" s="10"/>
      <c r="AU27" s="10"/>
      <c r="AV27" s="10"/>
      <c r="AW27" s="52"/>
      <c r="AX27" s="52"/>
      <c r="AY27" s="10"/>
      <c r="AZ27" s="10"/>
      <c r="BA27" s="10"/>
      <c r="BB27" s="10"/>
      <c r="BC27" s="10"/>
      <c r="BD27" s="52"/>
      <c r="BE27" s="52"/>
      <c r="BF27" s="10"/>
      <c r="BG27" s="10"/>
      <c r="BH27" s="10"/>
      <c r="BI27" s="10"/>
      <c r="BJ27" s="10"/>
      <c r="BK27" s="52"/>
      <c r="BL27" s="52"/>
    </row>
    <row r="28" spans="1:64" s="3" customFormat="1" ht="22.5" customHeight="1" thickBot="1">
      <c r="A28" s="27"/>
      <c r="B28" s="24"/>
      <c r="C28" s="21"/>
      <c r="D28" s="31"/>
      <c r="E28" s="36"/>
      <c r="F28" s="37"/>
      <c r="G28" s="42" t="str">
        <f t="shared" ref="G28" si="4">IF(OR(ISBLANK(E28),ISBLANK(F28)),"",F28-E28+1)</f>
        <v/>
      </c>
      <c r="H28" s="36"/>
      <c r="I28" s="37"/>
      <c r="J28" s="42" t="str">
        <f t="shared" ref="J28" si="5">IF(OR(ISBLANK(H28),ISBLANK(I28)),"",I28-H28+1)</f>
        <v/>
      </c>
      <c r="K28" s="12"/>
      <c r="L28" s="12"/>
      <c r="M28" s="12"/>
      <c r="N28" s="52"/>
      <c r="O28" s="52"/>
      <c r="P28" s="12"/>
      <c r="Q28" s="12"/>
      <c r="R28" s="12"/>
      <c r="S28" s="12"/>
      <c r="T28" s="12"/>
      <c r="U28" s="52"/>
      <c r="V28" s="52"/>
      <c r="W28" s="12"/>
      <c r="X28" s="12"/>
      <c r="Y28" s="12"/>
      <c r="Z28" s="12"/>
      <c r="AA28" s="12"/>
      <c r="AB28" s="52"/>
      <c r="AC28" s="52"/>
      <c r="AD28" s="12"/>
      <c r="AE28" s="12"/>
      <c r="AF28" s="12"/>
      <c r="AG28" s="12"/>
      <c r="AH28" s="12"/>
      <c r="AI28" s="52"/>
      <c r="AJ28" s="52"/>
      <c r="AK28" s="12"/>
      <c r="AL28" s="12"/>
      <c r="AM28" s="12"/>
      <c r="AN28" s="12"/>
      <c r="AO28" s="12"/>
      <c r="AP28" s="52"/>
      <c r="AQ28" s="52"/>
      <c r="AR28" s="12"/>
      <c r="AS28" s="12"/>
      <c r="AT28" s="12"/>
      <c r="AU28" s="12"/>
      <c r="AV28" s="12"/>
      <c r="AW28" s="52"/>
      <c r="AX28" s="52"/>
      <c r="AY28" s="12"/>
      <c r="AZ28" s="12"/>
      <c r="BA28" s="12"/>
      <c r="BB28" s="12"/>
      <c r="BC28" s="12"/>
      <c r="BD28" s="52"/>
      <c r="BE28" s="52"/>
      <c r="BF28" s="12"/>
      <c r="BG28" s="12"/>
      <c r="BH28" s="12"/>
      <c r="BI28" s="12"/>
      <c r="BJ28" s="12"/>
      <c r="BK28" s="52"/>
      <c r="BL28" s="52"/>
    </row>
    <row r="33" spans="10:10">
      <c r="J33" s="5"/>
    </row>
  </sheetData>
  <mergeCells count="2">
    <mergeCell ref="E3:F3"/>
    <mergeCell ref="D6:E6"/>
  </mergeCells>
  <conditionalFormatting sqref="D8:D28">
    <cfRule type="dataBar" priority="12">
      <dataBar>
        <cfvo type="num" val="0"/>
        <cfvo type="num" val="1"/>
        <color theme="7" tint="0.59999389629810485"/>
      </dataBar>
      <extLst xmlns:x14="http://schemas.microsoft.com/office/spreadsheetml/2009/9/main">
        <ext uri="{B025F937-C7B1-47D3-B67F-A62EFF666E3E}">
          <x14:id>{B0389232-4C98-4A03-AD0E-39F63BAD1F53}</x14:id>
        </ext>
      </extLst>
    </cfRule>
  </conditionalFormatting>
  <conditionalFormatting sqref="K8:M28 P8:T28 W8:AA28 BF8:BJ28 AY8:BC28 AR8:AV28 AD8:AH28 AK8:AO28">
    <cfRule type="expression" dxfId="3" priority="13" stopIfTrue="1">
      <formula>NOT(AND(MAX($I8,$F8)&gt;=K$5,MIN($H8,$E8)&lt;L$5))</formula>
    </cfRule>
    <cfRule type="expression" dxfId="2" priority="14">
      <formula>AND($F8&gt;=K$5,$E8&lt;L$5)</formula>
    </cfRule>
    <cfRule type="expression" dxfId="1" priority="16" stopIfTrue="1">
      <formula>AND($I8&gt;=K$5,$H8&lt;L$5)</formula>
    </cfRule>
  </conditionalFormatting>
  <conditionalFormatting sqref="K6:M28 P6:T28 W6:AA28 BF6:BJ28 AY6:BC28 AR6:AV28 AD6:AH28 AK6:AO28">
    <cfRule type="expression" dxfId="0" priority="9">
      <formula>AND(TODAY()&gt;=K$5,TODAY()&lt;L$5)</formula>
    </cfRule>
  </conditionalFormatting>
  <dataValidations disablePrompts="1" count="1">
    <dataValidation type="list" allowBlank="1" showInputMessage="1" showErrorMessage="1" sqref="E4">
      <formula1>"Daily,Weekly,Monthly,Quarterly"</formula1>
    </dataValidation>
  </dataValidations>
  <pageMargins left="0.35" right="0.35" top="0.35" bottom="0.5" header="0.3" footer="0.3"/>
  <pageSetup scale="43" fitToHeight="0" orientation="landscape" r:id="rId1"/>
  <headerFooter scaleWithDoc="0">
    <oddFooter>&amp;L&amp;"Arial,Regular"&amp;8&amp;K01+043https://www.vertex42.com/ExcelTemplates/construction-schedule.html&amp;R&amp;"Arial,Regular"&amp;8&amp;K01+043Construction Schedule Template © 2017 by Vertex42.com</oddFooter>
  </headerFooter>
  <legacyDrawing r:id="rId2"/>
  <extLst xmlns:x14="http://schemas.microsoft.com/office/spreadsheetml/2009/9/main">
    <ext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D8:D28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D148"/>
  <sheetViews>
    <sheetView topLeftCell="A125" workbookViewId="0">
      <selection activeCell="I138" sqref="I138"/>
    </sheetView>
  </sheetViews>
  <sheetFormatPr defaultRowHeight="14.25"/>
  <cols>
    <col min="1" max="1" width="32.125" bestFit="1" customWidth="1"/>
    <col min="2" max="2" width="18.125" bestFit="1" customWidth="1"/>
    <col min="3" max="3" width="9.875" customWidth="1"/>
    <col min="4" max="4" width="43" bestFit="1" customWidth="1"/>
  </cols>
  <sheetData>
    <row r="1" spans="1:4" ht="15.75">
      <c r="A1" s="59" t="s">
        <v>33</v>
      </c>
      <c r="B1" s="60" t="s">
        <v>34</v>
      </c>
      <c r="C1" s="60"/>
      <c r="D1" s="60" t="s">
        <v>35</v>
      </c>
    </row>
    <row r="3" spans="1:4">
      <c r="A3" t="s">
        <v>36</v>
      </c>
      <c r="B3" t="s">
        <v>37</v>
      </c>
    </row>
    <row r="4" spans="1:4">
      <c r="B4" t="s">
        <v>38</v>
      </c>
      <c r="D4" t="s">
        <v>39</v>
      </c>
    </row>
    <row r="5" spans="1:4">
      <c r="B5" t="s">
        <v>40</v>
      </c>
      <c r="D5" t="s">
        <v>41</v>
      </c>
    </row>
    <row r="6" spans="1:4">
      <c r="B6" t="s">
        <v>42</v>
      </c>
      <c r="D6" t="s">
        <v>43</v>
      </c>
    </row>
    <row r="7" spans="1:4">
      <c r="B7" t="s">
        <v>44</v>
      </c>
      <c r="D7" s="61" t="s">
        <v>45</v>
      </c>
    </row>
    <row r="8" spans="1:4">
      <c r="B8" t="s">
        <v>46</v>
      </c>
      <c r="D8" t="s">
        <v>47</v>
      </c>
    </row>
    <row r="12" spans="1:4">
      <c r="A12" t="s">
        <v>48</v>
      </c>
      <c r="B12" t="s">
        <v>49</v>
      </c>
    </row>
    <row r="13" spans="1:4">
      <c r="B13" t="s">
        <v>50</v>
      </c>
      <c r="D13" t="s">
        <v>51</v>
      </c>
    </row>
    <row r="14" spans="1:4">
      <c r="B14" t="s">
        <v>40</v>
      </c>
    </row>
    <row r="15" spans="1:4">
      <c r="B15" t="s">
        <v>44</v>
      </c>
      <c r="D15" s="61" t="s">
        <v>45</v>
      </c>
    </row>
    <row r="16" spans="1:4">
      <c r="B16" t="s">
        <v>46</v>
      </c>
      <c r="D16" t="s">
        <v>47</v>
      </c>
    </row>
    <row r="20" spans="1:4">
      <c r="A20" t="s">
        <v>52</v>
      </c>
      <c r="B20" t="s">
        <v>53</v>
      </c>
    </row>
    <row r="21" spans="1:4">
      <c r="B21" t="s">
        <v>54</v>
      </c>
      <c r="D21" t="s">
        <v>55</v>
      </c>
    </row>
    <row r="22" spans="1:4">
      <c r="B22" t="s">
        <v>40</v>
      </c>
    </row>
    <row r="23" spans="1:4">
      <c r="B23" t="s">
        <v>44</v>
      </c>
      <c r="D23" s="61" t="s">
        <v>45</v>
      </c>
    </row>
    <row r="24" spans="1:4">
      <c r="B24" t="s">
        <v>56</v>
      </c>
    </row>
    <row r="25" spans="1:4">
      <c r="B25" t="s">
        <v>46</v>
      </c>
      <c r="D25" t="s">
        <v>47</v>
      </c>
    </row>
    <row r="28" spans="1:4">
      <c r="A28" t="s">
        <v>57</v>
      </c>
      <c r="B28" t="s">
        <v>58</v>
      </c>
    </row>
    <row r="29" spans="1:4">
      <c r="B29" t="s">
        <v>50</v>
      </c>
      <c r="D29" t="s">
        <v>59</v>
      </c>
    </row>
    <row r="30" spans="1:4">
      <c r="B30" t="s">
        <v>40</v>
      </c>
    </row>
    <row r="31" spans="1:4">
      <c r="B31" t="s">
        <v>44</v>
      </c>
      <c r="D31" s="61" t="s">
        <v>45</v>
      </c>
    </row>
    <row r="32" spans="1:4">
      <c r="B32" t="s">
        <v>46</v>
      </c>
      <c r="D32" t="s">
        <v>47</v>
      </c>
    </row>
    <row r="35" spans="1:4">
      <c r="A35" s="62" t="s">
        <v>60</v>
      </c>
      <c r="B35" s="62" t="s">
        <v>58</v>
      </c>
      <c r="C35" s="63"/>
      <c r="D35" s="63"/>
    </row>
    <row r="36" spans="1:4">
      <c r="A36" s="62"/>
      <c r="B36" s="64" t="s">
        <v>61</v>
      </c>
      <c r="D36" t="s">
        <v>62</v>
      </c>
    </row>
    <row r="37" spans="1:4">
      <c r="A37" s="62"/>
      <c r="B37" s="64" t="s">
        <v>40</v>
      </c>
    </row>
    <row r="38" spans="1:4">
      <c r="B38" t="s">
        <v>44</v>
      </c>
      <c r="D38" s="61" t="s">
        <v>45</v>
      </c>
    </row>
    <row r="39" spans="1:4">
      <c r="B39" t="s">
        <v>56</v>
      </c>
    </row>
    <row r="40" spans="1:4">
      <c r="B40" t="s">
        <v>46</v>
      </c>
      <c r="D40" t="s">
        <v>47</v>
      </c>
    </row>
    <row r="41" spans="1:4">
      <c r="A41" s="62"/>
    </row>
    <row r="43" spans="1:4">
      <c r="A43" t="s">
        <v>63</v>
      </c>
      <c r="B43" t="s">
        <v>58</v>
      </c>
    </row>
    <row r="44" spans="1:4">
      <c r="B44" t="s">
        <v>64</v>
      </c>
    </row>
    <row r="45" spans="1:4">
      <c r="B45" t="s">
        <v>65</v>
      </c>
    </row>
    <row r="46" spans="1:4">
      <c r="B46" t="s">
        <v>66</v>
      </c>
    </row>
    <row r="47" spans="1:4">
      <c r="B47" t="s">
        <v>61</v>
      </c>
      <c r="D47" t="s">
        <v>67</v>
      </c>
    </row>
    <row r="48" spans="1:4">
      <c r="B48" t="s">
        <v>68</v>
      </c>
    </row>
    <row r="49" spans="1:4">
      <c r="B49" t="s">
        <v>69</v>
      </c>
    </row>
    <row r="50" spans="1:4">
      <c r="B50" t="s">
        <v>70</v>
      </c>
    </row>
    <row r="51" spans="1:4">
      <c r="B51" t="s">
        <v>71</v>
      </c>
    </row>
    <row r="52" spans="1:4">
      <c r="B52" t="s">
        <v>72</v>
      </c>
    </row>
    <row r="53" spans="1:4">
      <c r="B53" t="s">
        <v>73</v>
      </c>
      <c r="D53" t="s">
        <v>74</v>
      </c>
    </row>
    <row r="54" spans="1:4">
      <c r="B54" t="s">
        <v>75</v>
      </c>
      <c r="D54" t="s">
        <v>76</v>
      </c>
    </row>
    <row r="55" spans="1:4">
      <c r="B55" t="s">
        <v>77</v>
      </c>
      <c r="D55" t="s">
        <v>78</v>
      </c>
    </row>
    <row r="56" spans="1:4">
      <c r="B56" t="s">
        <v>54</v>
      </c>
      <c r="D56" t="s">
        <v>79</v>
      </c>
    </row>
    <row r="57" spans="1:4">
      <c r="B57" t="s">
        <v>80</v>
      </c>
    </row>
    <row r="58" spans="1:4">
      <c r="B58" t="s">
        <v>81</v>
      </c>
    </row>
    <row r="59" spans="1:4">
      <c r="B59" t="s">
        <v>44</v>
      </c>
      <c r="D59" s="61" t="s">
        <v>45</v>
      </c>
    </row>
    <row r="60" spans="1:4">
      <c r="B60" t="s">
        <v>56</v>
      </c>
    </row>
    <row r="61" spans="1:4">
      <c r="B61" t="s">
        <v>46</v>
      </c>
      <c r="D61" t="s">
        <v>47</v>
      </c>
    </row>
    <row r="64" spans="1:4">
      <c r="A64" t="s">
        <v>82</v>
      </c>
      <c r="B64" t="s">
        <v>58</v>
      </c>
    </row>
    <row r="65" spans="1:4">
      <c r="B65" t="s">
        <v>64</v>
      </c>
    </row>
    <row r="66" spans="1:4">
      <c r="B66" t="s">
        <v>83</v>
      </c>
      <c r="D66" t="s">
        <v>84</v>
      </c>
    </row>
    <row r="67" spans="1:4">
      <c r="B67" t="s">
        <v>85</v>
      </c>
      <c r="D67" t="s">
        <v>84</v>
      </c>
    </row>
    <row r="68" spans="1:4">
      <c r="B68" t="s">
        <v>80</v>
      </c>
    </row>
    <row r="69" spans="1:4">
      <c r="B69" t="s">
        <v>81</v>
      </c>
    </row>
    <row r="70" spans="1:4">
      <c r="B70" t="s">
        <v>44</v>
      </c>
      <c r="D70" s="61" t="s">
        <v>45</v>
      </c>
    </row>
    <row r="71" spans="1:4">
      <c r="B71" t="s">
        <v>56</v>
      </c>
    </row>
    <row r="72" spans="1:4">
      <c r="B72" t="s">
        <v>46</v>
      </c>
      <c r="D72" t="s">
        <v>47</v>
      </c>
    </row>
    <row r="75" spans="1:4">
      <c r="A75" t="s">
        <v>86</v>
      </c>
      <c r="B75" t="s">
        <v>64</v>
      </c>
      <c r="D75" t="s">
        <v>87</v>
      </c>
    </row>
    <row r="76" spans="1:4">
      <c r="B76" t="s">
        <v>61</v>
      </c>
      <c r="D76" t="s">
        <v>62</v>
      </c>
    </row>
    <row r="77" spans="1:4">
      <c r="B77" t="s">
        <v>88</v>
      </c>
    </row>
    <row r="78" spans="1:4">
      <c r="B78" t="s">
        <v>44</v>
      </c>
      <c r="D78" s="61" t="s">
        <v>45</v>
      </c>
    </row>
    <row r="79" spans="1:4">
      <c r="B79" t="s">
        <v>46</v>
      </c>
      <c r="D79" t="s">
        <v>47</v>
      </c>
    </row>
    <row r="82" spans="1:4">
      <c r="A82" t="s">
        <v>89</v>
      </c>
      <c r="B82" t="s">
        <v>58</v>
      </c>
    </row>
    <row r="83" spans="1:4">
      <c r="B83" t="s">
        <v>64</v>
      </c>
      <c r="D83" t="s">
        <v>87</v>
      </c>
    </row>
    <row r="84" spans="1:4">
      <c r="B84" t="s">
        <v>61</v>
      </c>
      <c r="D84" t="s">
        <v>62</v>
      </c>
    </row>
    <row r="85" spans="1:4">
      <c r="B85" t="s">
        <v>90</v>
      </c>
      <c r="D85" t="s">
        <v>91</v>
      </c>
    </row>
    <row r="86" spans="1:4">
      <c r="B86" t="s">
        <v>92</v>
      </c>
      <c r="D86" t="s">
        <v>93</v>
      </c>
    </row>
    <row r="87" spans="1:4">
      <c r="B87" t="s">
        <v>44</v>
      </c>
      <c r="D87" s="61" t="s">
        <v>45</v>
      </c>
    </row>
    <row r="88" spans="1:4">
      <c r="B88" t="s">
        <v>46</v>
      </c>
      <c r="D88" t="s">
        <v>47</v>
      </c>
    </row>
    <row r="91" spans="1:4" ht="15">
      <c r="A91" s="65" t="s">
        <v>94</v>
      </c>
      <c r="B91" t="s">
        <v>58</v>
      </c>
    </row>
    <row r="92" spans="1:4">
      <c r="B92" t="s">
        <v>64</v>
      </c>
      <c r="D92" t="s">
        <v>87</v>
      </c>
    </row>
    <row r="93" spans="1:4">
      <c r="B93" t="s">
        <v>95</v>
      </c>
      <c r="D93" t="s">
        <v>96</v>
      </c>
    </row>
    <row r="94" spans="1:4">
      <c r="B94" t="s">
        <v>97</v>
      </c>
      <c r="D94" t="s">
        <v>62</v>
      </c>
    </row>
    <row r="95" spans="1:4">
      <c r="B95" t="s">
        <v>98</v>
      </c>
    </row>
    <row r="96" spans="1:4">
      <c r="B96" t="s">
        <v>99</v>
      </c>
    </row>
    <row r="97" spans="1:4">
      <c r="B97" t="s">
        <v>100</v>
      </c>
    </row>
    <row r="98" spans="1:4">
      <c r="B98" t="s">
        <v>101</v>
      </c>
      <c r="D98" t="s">
        <v>102</v>
      </c>
    </row>
    <row r="99" spans="1:4">
      <c r="B99" t="s">
        <v>103</v>
      </c>
      <c r="D99" t="s">
        <v>104</v>
      </c>
    </row>
    <row r="100" spans="1:4">
      <c r="B100" t="s">
        <v>44</v>
      </c>
      <c r="D100" s="61" t="s">
        <v>45</v>
      </c>
    </row>
    <row r="101" spans="1:4">
      <c r="B101" t="s">
        <v>46</v>
      </c>
      <c r="D101" t="s">
        <v>47</v>
      </c>
    </row>
    <row r="104" spans="1:4">
      <c r="A104" t="s">
        <v>105</v>
      </c>
      <c r="B104" t="s">
        <v>58</v>
      </c>
    </row>
    <row r="105" spans="1:4">
      <c r="B105" t="s">
        <v>95</v>
      </c>
      <c r="D105" t="s">
        <v>117</v>
      </c>
    </row>
    <row r="106" spans="1:4">
      <c r="B106" t="s">
        <v>97</v>
      </c>
      <c r="D106" t="s">
        <v>104</v>
      </c>
    </row>
    <row r="107" spans="1:4">
      <c r="B107" t="s">
        <v>64</v>
      </c>
    </row>
    <row r="108" spans="1:4">
      <c r="B108" t="s">
        <v>118</v>
      </c>
      <c r="D108" t="s">
        <v>119</v>
      </c>
    </row>
    <row r="109" spans="1:4">
      <c r="B109" t="s">
        <v>50</v>
      </c>
    </row>
    <row r="110" spans="1:4">
      <c r="B110" t="s">
        <v>101</v>
      </c>
      <c r="D110" t="s">
        <v>102</v>
      </c>
    </row>
    <row r="111" spans="1:4">
      <c r="B111" t="s">
        <v>103</v>
      </c>
      <c r="D111" t="s">
        <v>104</v>
      </c>
    </row>
    <row r="112" spans="1:4">
      <c r="B112" t="s">
        <v>44</v>
      </c>
      <c r="D112" s="61" t="s">
        <v>45</v>
      </c>
    </row>
    <row r="113" spans="1:4">
      <c r="B113" t="s">
        <v>46</v>
      </c>
      <c r="D113" t="s">
        <v>47</v>
      </c>
    </row>
    <row r="116" spans="1:4">
      <c r="A116" t="s">
        <v>106</v>
      </c>
      <c r="B116" t="s">
        <v>58</v>
      </c>
    </row>
    <row r="117" spans="1:4">
      <c r="B117" t="s">
        <v>64</v>
      </c>
    </row>
    <row r="118" spans="1:4">
      <c r="B118" t="s">
        <v>107</v>
      </c>
    </row>
    <row r="119" spans="1:4">
      <c r="B119" t="s">
        <v>44</v>
      </c>
      <c r="D119" s="61" t="s">
        <v>45</v>
      </c>
    </row>
    <row r="120" spans="1:4">
      <c r="B120" t="s">
        <v>46</v>
      </c>
      <c r="D120" t="s">
        <v>47</v>
      </c>
    </row>
    <row r="123" spans="1:4">
      <c r="A123" t="s">
        <v>108</v>
      </c>
      <c r="B123" t="s">
        <v>64</v>
      </c>
    </row>
    <row r="124" spans="1:4">
      <c r="B124" t="s">
        <v>120</v>
      </c>
    </row>
    <row r="125" spans="1:4">
      <c r="B125" t="s">
        <v>121</v>
      </c>
    </row>
    <row r="126" spans="1:4">
      <c r="B126" t="s">
        <v>122</v>
      </c>
    </row>
    <row r="127" spans="1:4">
      <c r="B127" t="s">
        <v>123</v>
      </c>
    </row>
    <row r="128" spans="1:4">
      <c r="B128" t="s">
        <v>124</v>
      </c>
    </row>
    <row r="129" spans="1:4">
      <c r="B129" t="s">
        <v>44</v>
      </c>
      <c r="D129" s="61" t="s">
        <v>45</v>
      </c>
    </row>
    <row r="130" spans="1:4">
      <c r="B130" t="s">
        <v>46</v>
      </c>
      <c r="D130" t="s">
        <v>47</v>
      </c>
    </row>
    <row r="133" spans="1:4">
      <c r="A133" t="s">
        <v>109</v>
      </c>
      <c r="B133" t="s">
        <v>58</v>
      </c>
    </row>
    <row r="134" spans="1:4">
      <c r="B134" t="s">
        <v>64</v>
      </c>
    </row>
    <row r="135" spans="1:4">
      <c r="B135" t="s">
        <v>110</v>
      </c>
    </row>
    <row r="136" spans="1:4">
      <c r="B136" t="s">
        <v>111</v>
      </c>
    </row>
    <row r="137" spans="1:4">
      <c r="B137" t="s">
        <v>112</v>
      </c>
    </row>
    <row r="138" spans="1:4">
      <c r="B138" t="s">
        <v>101</v>
      </c>
      <c r="D138" t="s">
        <v>102</v>
      </c>
    </row>
    <row r="139" spans="1:4">
      <c r="B139" t="s">
        <v>103</v>
      </c>
      <c r="D139" t="s">
        <v>104</v>
      </c>
    </row>
    <row r="140" spans="1:4">
      <c r="B140" t="s">
        <v>44</v>
      </c>
      <c r="D140" s="61" t="s">
        <v>45</v>
      </c>
    </row>
    <row r="141" spans="1:4">
      <c r="B141" t="s">
        <v>46</v>
      </c>
      <c r="D141" t="s">
        <v>47</v>
      </c>
    </row>
    <row r="144" spans="1:4">
      <c r="A144" t="s">
        <v>113</v>
      </c>
      <c r="B144" t="s">
        <v>58</v>
      </c>
    </row>
    <row r="145" spans="2:4">
      <c r="B145" t="s">
        <v>64</v>
      </c>
    </row>
    <row r="146" spans="2:4">
      <c r="B146" t="s">
        <v>114</v>
      </c>
      <c r="D146" t="s">
        <v>115</v>
      </c>
    </row>
    <row r="147" spans="2:4">
      <c r="B147" t="s">
        <v>116</v>
      </c>
    </row>
    <row r="148" spans="2:4">
      <c r="B148" t="s">
        <v>44</v>
      </c>
      <c r="D148" s="6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ProjectPlan</vt:lpstr>
      <vt:lpstr>Database</vt:lpstr>
      <vt:lpstr>ProjectPlan!Print_Titles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Planner Template</dc:title>
  <dc:creator>Vertex42.com</dc:creator>
  <dc:description>(c) 2017 Vertex42 LLC. All Rights Reserved.</dc:description>
  <cp:lastModifiedBy>Ragunathan.160</cp:lastModifiedBy>
  <cp:lastPrinted>2017-01-28T01:37:13Z</cp:lastPrinted>
  <dcterms:created xsi:type="dcterms:W3CDTF">2017-01-09T18:01:51Z</dcterms:created>
  <dcterms:modified xsi:type="dcterms:W3CDTF">2019-07-25T09:33:54Z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2017 Vertex42 LLC</vt:lpwstr>
  </property>
  <property fmtid="{D5CDD505-2E9C-101B-9397-08002B2CF9AE}" pid="3" name="Version">
    <vt:lpwstr>1.0.0</vt:lpwstr>
  </property>
</Properties>
</file>